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_hang" sheetId="1" state="visible" r:id="rId1"/>
    <sheet xmlns:r="http://schemas.openxmlformats.org/officeDocument/2006/relationships" name="Bang_gia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₫&quot;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6324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onHangTbl" displayName="DonHangTbl" ref="A1:G501" headerRowCount="1">
  <autoFilter ref="A1:G501"/>
  <tableColumns count="7">
    <tableColumn id="1" name="Mã vận đơn"/>
    <tableColumn id="2" name="Ngày tạo"/>
    <tableColumn id="3" name="Khu vực"/>
    <tableColumn id="4" name="Dịch vụ"/>
    <tableColumn id="5" name="Khối lượng (kg)"/>
    <tableColumn id="6" name="Giá cước"/>
    <tableColumn id="7" name="Trạng thái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BangGiaTbl" displayName="BangGiaTbl" ref="A1:D10" headerRowCount="1">
  <autoFilter ref="A1:D10"/>
  <tableColumns count="4">
    <tableColumn id="1" name="Khóa tra cứu (Khu vực|Dịch vụ)"/>
    <tableColumn id="2" name="Giá cước (VNĐ)"/>
    <tableColumn id="3" name="Khu vực"/>
    <tableColumn id="4" name="Dịch vụ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8" customWidth="1" min="4" max="4"/>
    <col width="18" customWidth="1" min="5" max="5"/>
    <col width="35" customWidth="1" min="6" max="6"/>
    <col width="18" customWidth="1" min="7" max="7"/>
  </cols>
  <sheetData>
    <row r="1" ht="32" customHeight="1">
      <c r="A1" s="1" t="inlineStr">
        <is>
          <t>Mã vận đơn</t>
        </is>
      </c>
      <c r="B1" s="1" t="inlineStr">
        <is>
          <t>Ngày tạo</t>
        </is>
      </c>
      <c r="C1" s="1" t="inlineStr">
        <is>
          <t>Khu vực</t>
        </is>
      </c>
      <c r="D1" s="1" t="inlineStr">
        <is>
          <t>Dịch vụ</t>
        </is>
      </c>
      <c r="E1" s="1" t="inlineStr">
        <is>
          <t>Khối lượng (kg)</t>
        </is>
      </c>
      <c r="F1" s="1" t="inlineStr">
        <is>
          <t>Giá cước</t>
        </is>
      </c>
      <c r="G1" s="1" t="inlineStr">
        <is>
          <t>Trạng thái</t>
        </is>
      </c>
    </row>
    <row r="2">
      <c r="A2" t="inlineStr">
        <is>
          <t>FM000001</t>
        </is>
      </c>
      <c r="B2" t="inlineStr">
        <is>
          <t>2026-10-13</t>
        </is>
      </c>
      <c r="C2" t="inlineStr">
        <is>
          <t>Nội thành</t>
        </is>
      </c>
      <c r="D2" t="inlineStr">
        <is>
          <t>Nhanh</t>
        </is>
      </c>
      <c r="E2" t="n">
        <v>2.7</v>
      </c>
      <c r="F2" s="2">
        <f>IFERROR(VLOOKUP(C2&amp;"|"&amp;D2,Bang_gia!$A$2:$B$10,2,FALSE),"Không tìm thấy mã/khu vực/dịch vụ")</f>
        <v/>
      </c>
      <c r="G2" t="inlineStr">
        <is>
          <t>Mới tạo</t>
        </is>
      </c>
    </row>
    <row r="3">
      <c r="A3" t="inlineStr">
        <is>
          <t>FM000002</t>
        </is>
      </c>
      <c r="B3" t="inlineStr">
        <is>
          <t>2026-10-08</t>
        </is>
      </c>
      <c r="C3" t="inlineStr">
        <is>
          <t>Nội thành</t>
        </is>
      </c>
      <c r="D3" t="inlineStr">
        <is>
          <t>Tiêu chuẩn</t>
        </is>
      </c>
      <c r="E3" t="n">
        <v>16.3</v>
      </c>
      <c r="F3" s="2">
        <f>IFERROR(VLOOKUP(C3&amp;"|"&amp;D3,Bang_gia!$A$2:$B$10,2,FALSE),"Không tìm thấy mã/khu vực/dịch vụ")</f>
        <v/>
      </c>
      <c r="G3" t="inlineStr">
        <is>
          <t>Đang giao</t>
        </is>
      </c>
    </row>
    <row r="4">
      <c r="A4" t="inlineStr">
        <is>
          <t>FM000003</t>
        </is>
      </c>
      <c r="B4" t="inlineStr">
        <is>
          <t>2026-10-01</t>
        </is>
      </c>
      <c r="C4" t="inlineStr">
        <is>
          <t>Ngoại thành</t>
        </is>
      </c>
      <c r="D4" t="inlineStr">
        <is>
          <t>Hỏa tốc</t>
        </is>
      </c>
      <c r="E4" t="n">
        <v>9.300000000000001</v>
      </c>
      <c r="F4" s="2">
        <f>IFERROR(VLOOKUP(C4&amp;"|"&amp;D4,Bang_gia!$A$2:$B$10,2,FALSE),"Không tìm thấy mã/khu vực/dịch vụ")</f>
        <v/>
      </c>
      <c r="G4" t="inlineStr">
        <is>
          <t>Chờ xử lý</t>
        </is>
      </c>
    </row>
    <row r="5">
      <c r="A5" t="inlineStr">
        <is>
          <t>FM000004</t>
        </is>
      </c>
      <c r="B5" t="inlineStr">
        <is>
          <t>2026-10-19</t>
        </is>
      </c>
      <c r="C5" t="inlineStr">
        <is>
          <t>Ngoại thành</t>
        </is>
      </c>
      <c r="D5" t="inlineStr">
        <is>
          <t>Nhanh</t>
        </is>
      </c>
      <c r="E5" t="n">
        <v>4</v>
      </c>
      <c r="F5" s="2">
        <f>IFERROR(VLOOKUP(C5&amp;"|"&amp;D5,Bang_gia!$A$2:$B$10,2,FALSE),"Không tìm thấy mã/khu vực/dịch vụ")</f>
        <v/>
      </c>
      <c r="G5" t="inlineStr">
        <is>
          <t>Chờ xử lý</t>
        </is>
      </c>
    </row>
    <row r="6">
      <c r="A6" t="inlineStr">
        <is>
          <t>FM000005</t>
        </is>
      </c>
      <c r="B6" t="inlineStr">
        <is>
          <t>2026-10-08</t>
        </is>
      </c>
      <c r="C6" t="inlineStr">
        <is>
          <t>Nội thành</t>
        </is>
      </c>
      <c r="D6" t="inlineStr">
        <is>
          <t>Nhanh</t>
        </is>
      </c>
      <c r="E6" t="n">
        <v>15.2</v>
      </c>
      <c r="F6" s="2">
        <f>IFERROR(VLOOKUP(C6&amp;"|"&amp;D6,Bang_gia!$A$2:$B$10,2,FALSE),"Không tìm thấy mã/khu vực/dịch vụ")</f>
        <v/>
      </c>
      <c r="G6" t="inlineStr">
        <is>
          <t>Đã giao</t>
        </is>
      </c>
    </row>
    <row r="7">
      <c r="A7" t="inlineStr">
        <is>
          <t>FM000006</t>
        </is>
      </c>
      <c r="B7" t="inlineStr">
        <is>
          <t>2026-10-16</t>
        </is>
      </c>
      <c r="C7" t="inlineStr">
        <is>
          <t>Liên tỉnh</t>
        </is>
      </c>
      <c r="D7" t="inlineStr">
        <is>
          <t>Nhanh</t>
        </is>
      </c>
      <c r="E7" t="n">
        <v>18.1</v>
      </c>
      <c r="F7" s="2">
        <f>IFERROR(VLOOKUP(C7&amp;"|"&amp;D7,Bang_gia!$A$2:$B$10,2,FALSE),"Không tìm thấy mã/khu vực/dịch vụ")</f>
        <v/>
      </c>
      <c r="G7" t="inlineStr">
        <is>
          <t>Chờ xử lý</t>
        </is>
      </c>
    </row>
    <row r="8">
      <c r="A8" t="inlineStr">
        <is>
          <t>FM000007</t>
        </is>
      </c>
      <c r="B8" t="inlineStr">
        <is>
          <t>2026-10-22</t>
        </is>
      </c>
      <c r="C8" t="inlineStr">
        <is>
          <t>Liên tỉnh</t>
        </is>
      </c>
      <c r="D8" t="inlineStr">
        <is>
          <t>Tiêu chuẩn</t>
        </is>
      </c>
      <c r="E8" t="n">
        <v>5.3</v>
      </c>
      <c r="F8" s="2">
        <f>IFERROR(VLOOKUP(C8&amp;"|"&amp;D8,Bang_gia!$A$2:$B$10,2,FALSE),"Không tìm thấy mã/khu vực/dịch vụ")</f>
        <v/>
      </c>
      <c r="G8" t="inlineStr">
        <is>
          <t>Mới tạo</t>
        </is>
      </c>
    </row>
    <row r="9">
      <c r="A9" t="inlineStr">
        <is>
          <t>FM000008</t>
        </is>
      </c>
      <c r="B9" t="inlineStr">
        <is>
          <t>2026-10-13</t>
        </is>
      </c>
      <c r="C9" t="inlineStr">
        <is>
          <t>Ngoại thành</t>
        </is>
      </c>
      <c r="D9" t="inlineStr">
        <is>
          <t>Hỏa tốc</t>
        </is>
      </c>
      <c r="E9" t="n">
        <v>2.3</v>
      </c>
      <c r="F9" s="2">
        <f>IFERROR(VLOOKUP(C9&amp;"|"&amp;D9,Bang_gia!$A$2:$B$10,2,FALSE),"Không tìm thấy mã/khu vực/dịch vụ")</f>
        <v/>
      </c>
      <c r="G9" t="inlineStr">
        <is>
          <t>Mới tạo</t>
        </is>
      </c>
    </row>
    <row r="10">
      <c r="A10" t="inlineStr">
        <is>
          <t>FM000009</t>
        </is>
      </c>
      <c r="B10" t="inlineStr">
        <is>
          <t>2026-10-23</t>
        </is>
      </c>
      <c r="C10" t="inlineStr">
        <is>
          <t>Ngoại thành</t>
        </is>
      </c>
      <c r="D10" t="inlineStr">
        <is>
          <t>Tiêu chuẩn</t>
        </is>
      </c>
      <c r="E10" t="n">
        <v>1.9</v>
      </c>
      <c r="F10" s="2">
        <f>IFERROR(VLOOKUP(C10&amp;"|"&amp;D10,Bang_gia!$A$2:$B$10,2,FALSE),"Không tìm thấy mã/khu vực/dịch vụ")</f>
        <v/>
      </c>
      <c r="G10" t="inlineStr">
        <is>
          <t>Đang giao</t>
        </is>
      </c>
    </row>
    <row r="11">
      <c r="A11" t="inlineStr">
        <is>
          <t>FM000010</t>
        </is>
      </c>
      <c r="B11" t="inlineStr">
        <is>
          <t>2026-10-20</t>
        </is>
      </c>
      <c r="C11" t="inlineStr">
        <is>
          <t>Liên tỉnh</t>
        </is>
      </c>
      <c r="D11" t="inlineStr">
        <is>
          <t>Tiêu chuẩn</t>
        </is>
      </c>
      <c r="E11" t="n">
        <v>1.5</v>
      </c>
      <c r="F11" s="2">
        <f>IFERROR(VLOOKUP(C11&amp;"|"&amp;D11,Bang_gia!$A$2:$B$10,2,FALSE),"Không tìm thấy mã/khu vực/dịch vụ")</f>
        <v/>
      </c>
      <c r="G11" t="inlineStr">
        <is>
          <t>Mới tạo</t>
        </is>
      </c>
    </row>
    <row r="12">
      <c r="A12" t="inlineStr">
        <is>
          <t>FM000011</t>
        </is>
      </c>
      <c r="B12" t="inlineStr">
        <is>
          <t>2026-10-07</t>
        </is>
      </c>
      <c r="C12" t="inlineStr">
        <is>
          <t>Ngoại thành</t>
        </is>
      </c>
      <c r="D12" t="inlineStr">
        <is>
          <t>Hỏa tốc</t>
        </is>
      </c>
      <c r="E12" t="n">
        <v>3.1</v>
      </c>
      <c r="F12" s="2">
        <f>IFERROR(VLOOKUP(C12&amp;"|"&amp;D12,Bang_gia!$A$2:$B$10,2,FALSE),"Không tìm thấy mã/khu vực/dịch vụ")</f>
        <v/>
      </c>
      <c r="G12" t="inlineStr">
        <is>
          <t>Chờ xử lý</t>
        </is>
      </c>
    </row>
    <row r="13">
      <c r="A13" t="inlineStr">
        <is>
          <t>FM000012</t>
        </is>
      </c>
      <c r="B13" t="inlineStr">
        <is>
          <t>2026-10-15</t>
        </is>
      </c>
      <c r="C13" t="inlineStr">
        <is>
          <t>Liên tỉnh</t>
        </is>
      </c>
      <c r="D13" t="inlineStr">
        <is>
          <t>Hỏa tốc</t>
        </is>
      </c>
      <c r="E13" t="n">
        <v>5.9</v>
      </c>
      <c r="F13" s="2">
        <f>IFERROR(VLOOKUP(C13&amp;"|"&amp;D13,Bang_gia!$A$2:$B$10,2,FALSE),"Không tìm thấy mã/khu vực/dịch vụ")</f>
        <v/>
      </c>
      <c r="G13" t="inlineStr">
        <is>
          <t>Đã giao</t>
        </is>
      </c>
    </row>
    <row r="14">
      <c r="A14" t="inlineStr">
        <is>
          <t>FM000013</t>
        </is>
      </c>
      <c r="B14" t="inlineStr">
        <is>
          <t>2026-10-06</t>
        </is>
      </c>
      <c r="C14" t="inlineStr">
        <is>
          <t>Ngoại thành</t>
        </is>
      </c>
      <c r="D14" t="inlineStr">
        <is>
          <t>Tiêu chuẩn</t>
        </is>
      </c>
      <c r="E14" t="n">
        <v>15.3</v>
      </c>
      <c r="F14" s="2">
        <f>IFERROR(VLOOKUP(C14&amp;"|"&amp;D14,Bang_gia!$A$2:$B$10,2,FALSE),"Không tìm thấy mã/khu vực/dịch vụ")</f>
        <v/>
      </c>
      <c r="G14" t="inlineStr">
        <is>
          <t>Mới tạo</t>
        </is>
      </c>
    </row>
    <row r="15">
      <c r="A15" t="inlineStr">
        <is>
          <t>FM000014</t>
        </is>
      </c>
      <c r="B15" t="inlineStr">
        <is>
          <t>2026-10-11</t>
        </is>
      </c>
      <c r="C15" t="inlineStr">
        <is>
          <t>Liên tỉnh</t>
        </is>
      </c>
      <c r="D15" t="inlineStr">
        <is>
          <t>Hỏa tốc</t>
        </is>
      </c>
      <c r="E15" t="n">
        <v>14.1</v>
      </c>
      <c r="F15" s="2">
        <f>IFERROR(VLOOKUP(C15&amp;"|"&amp;D15,Bang_gia!$A$2:$B$10,2,FALSE),"Không tìm thấy mã/khu vực/dịch vụ")</f>
        <v/>
      </c>
      <c r="G15" t="inlineStr">
        <is>
          <t>Chờ xử lý</t>
        </is>
      </c>
    </row>
    <row r="16">
      <c r="A16" t="inlineStr">
        <is>
          <t>FM000015</t>
        </is>
      </c>
      <c r="B16" t="inlineStr">
        <is>
          <t>2026-10-07</t>
        </is>
      </c>
      <c r="C16" t="inlineStr">
        <is>
          <t>Liên tỉnh</t>
        </is>
      </c>
      <c r="D16" t="inlineStr">
        <is>
          <t>Hỏa tốc</t>
        </is>
      </c>
      <c r="E16" t="n">
        <v>6.3</v>
      </c>
      <c r="F16" s="2">
        <f>IFERROR(VLOOKUP(C16&amp;"|"&amp;D16,Bang_gia!$A$2:$B$10,2,FALSE),"Không tìm thấy mã/khu vực/dịch vụ")</f>
        <v/>
      </c>
      <c r="G16" t="inlineStr">
        <is>
          <t>Đã giao</t>
        </is>
      </c>
    </row>
    <row r="17">
      <c r="A17" t="inlineStr">
        <is>
          <t>FM000016</t>
        </is>
      </c>
      <c r="B17" t="inlineStr">
        <is>
          <t>2026-10-17</t>
        </is>
      </c>
      <c r="C17" t="inlineStr">
        <is>
          <t>Liên tỉnh</t>
        </is>
      </c>
      <c r="D17" t="inlineStr">
        <is>
          <t>Nhanh</t>
        </is>
      </c>
      <c r="E17" t="n">
        <v>13.2</v>
      </c>
      <c r="F17" s="2">
        <f>IFERROR(VLOOKUP(C17&amp;"|"&amp;D17,Bang_gia!$A$2:$B$10,2,FALSE),"Không tìm thấy mã/khu vực/dịch vụ")</f>
        <v/>
      </c>
      <c r="G17" t="inlineStr">
        <is>
          <t>Đang giao</t>
        </is>
      </c>
    </row>
    <row r="18">
      <c r="A18" t="inlineStr">
        <is>
          <t>FM000017</t>
        </is>
      </c>
      <c r="B18" t="inlineStr">
        <is>
          <t>2026-10-01</t>
        </is>
      </c>
      <c r="C18" t="inlineStr">
        <is>
          <t>Ngoại thành</t>
        </is>
      </c>
      <c r="D18" t="inlineStr">
        <is>
          <t>Tiêu chuẩn</t>
        </is>
      </c>
      <c r="E18" t="n">
        <v>6.1</v>
      </c>
      <c r="F18" s="2">
        <f>IFERROR(VLOOKUP(C18&amp;"|"&amp;D18,Bang_gia!$A$2:$B$10,2,FALSE),"Không tìm thấy mã/khu vực/dịch vụ")</f>
        <v/>
      </c>
      <c r="G18" t="inlineStr">
        <is>
          <t>Đang giao</t>
        </is>
      </c>
    </row>
    <row r="19">
      <c r="A19" t="inlineStr">
        <is>
          <t>FM000018</t>
        </is>
      </c>
      <c r="B19" t="inlineStr">
        <is>
          <t>2026-10-14</t>
        </is>
      </c>
      <c r="C19" t="inlineStr">
        <is>
          <t>Ngoại thành</t>
        </is>
      </c>
      <c r="D19" t="inlineStr">
        <is>
          <t>Tiêu chuẩn</t>
        </is>
      </c>
      <c r="E19" t="n">
        <v>5.2</v>
      </c>
      <c r="F19" s="2">
        <f>IFERROR(VLOOKUP(C19&amp;"|"&amp;D19,Bang_gia!$A$2:$B$10,2,FALSE),"Không tìm thấy mã/khu vực/dịch vụ")</f>
        <v/>
      </c>
      <c r="G19" t="inlineStr">
        <is>
          <t>Đã giao</t>
        </is>
      </c>
    </row>
    <row r="20">
      <c r="A20" t="inlineStr">
        <is>
          <t>FM000019</t>
        </is>
      </c>
      <c r="B20" t="inlineStr">
        <is>
          <t>2026-10-06</t>
        </is>
      </c>
      <c r="C20" t="inlineStr">
        <is>
          <t>Liên tỉnh</t>
        </is>
      </c>
      <c r="D20" t="inlineStr">
        <is>
          <t>Nhanh</t>
        </is>
      </c>
      <c r="E20" t="n">
        <v>13.2</v>
      </c>
      <c r="F20" s="2">
        <f>IFERROR(VLOOKUP(C20&amp;"|"&amp;D20,Bang_gia!$A$2:$B$10,2,FALSE),"Không tìm thấy mã/khu vực/dịch vụ")</f>
        <v/>
      </c>
      <c r="G20" t="inlineStr">
        <is>
          <t>Mới tạo</t>
        </is>
      </c>
    </row>
    <row r="21">
      <c r="A21" t="inlineStr">
        <is>
          <t>FM000020</t>
        </is>
      </c>
      <c r="B21" t="inlineStr">
        <is>
          <t>2026-10-01</t>
        </is>
      </c>
      <c r="C21" t="inlineStr">
        <is>
          <t>Nội thành</t>
        </is>
      </c>
      <c r="D21" t="inlineStr">
        <is>
          <t>Hỏa tốc</t>
        </is>
      </c>
      <c r="E21" t="n">
        <v>4.2</v>
      </c>
      <c r="F21" s="2">
        <f>IFERROR(VLOOKUP(C21&amp;"|"&amp;D21,Bang_gia!$A$2:$B$10,2,FALSE),"Không tìm thấy mã/khu vực/dịch vụ")</f>
        <v/>
      </c>
      <c r="G21" t="inlineStr">
        <is>
          <t>Đang giao</t>
        </is>
      </c>
    </row>
    <row r="22">
      <c r="A22" t="inlineStr">
        <is>
          <t>FM000021</t>
        </is>
      </c>
      <c r="B22" t="inlineStr">
        <is>
          <t>2026-10-01</t>
        </is>
      </c>
      <c r="C22" t="inlineStr">
        <is>
          <t>Ngoại thành</t>
        </is>
      </c>
      <c r="D22" t="inlineStr">
        <is>
          <t>Tiêu chuẩn</t>
        </is>
      </c>
      <c r="E22" t="n">
        <v>16</v>
      </c>
      <c r="F22" s="2">
        <f>IFERROR(VLOOKUP(C22&amp;"|"&amp;D22,Bang_gia!$A$2:$B$10,2,FALSE),"Không tìm thấy mã/khu vực/dịch vụ")</f>
        <v/>
      </c>
      <c r="G22" t="inlineStr">
        <is>
          <t>Chờ xử lý</t>
        </is>
      </c>
    </row>
    <row r="23">
      <c r="A23" t="inlineStr">
        <is>
          <t>FM000022</t>
        </is>
      </c>
      <c r="B23" t="inlineStr">
        <is>
          <t>2026-10-19</t>
        </is>
      </c>
      <c r="C23" t="inlineStr">
        <is>
          <t>Ngoại thành</t>
        </is>
      </c>
      <c r="D23" t="inlineStr">
        <is>
          <t>Tiêu chuẩn</t>
        </is>
      </c>
      <c r="E23" t="n">
        <v>8.800000000000001</v>
      </c>
      <c r="F23" s="2">
        <f>IFERROR(VLOOKUP(C23&amp;"|"&amp;D23,Bang_gia!$A$2:$B$10,2,FALSE),"Không tìm thấy mã/khu vực/dịch vụ")</f>
        <v/>
      </c>
      <c r="G23" t="inlineStr">
        <is>
          <t>Đang giao</t>
        </is>
      </c>
    </row>
    <row r="24">
      <c r="A24" t="inlineStr">
        <is>
          <t>FM000023</t>
        </is>
      </c>
      <c r="B24" t="inlineStr">
        <is>
          <t>2026-10-19</t>
        </is>
      </c>
      <c r="C24" t="inlineStr">
        <is>
          <t>Nội thành</t>
        </is>
      </c>
      <c r="D24" t="inlineStr">
        <is>
          <t>Nhanh</t>
        </is>
      </c>
      <c r="E24" t="n">
        <v>9</v>
      </c>
      <c r="F24" s="2">
        <f>IFERROR(VLOOKUP(C24&amp;"|"&amp;D24,Bang_gia!$A$2:$B$10,2,FALSE),"Không tìm thấy mã/khu vực/dịch vụ")</f>
        <v/>
      </c>
      <c r="G24" t="inlineStr">
        <is>
          <t>Chờ xử lý</t>
        </is>
      </c>
    </row>
    <row r="25">
      <c r="A25" t="inlineStr">
        <is>
          <t>FM000024</t>
        </is>
      </c>
      <c r="B25" t="inlineStr">
        <is>
          <t>2026-10-03</t>
        </is>
      </c>
      <c r="C25" t="inlineStr">
        <is>
          <t>Nội thành</t>
        </is>
      </c>
      <c r="D25" t="inlineStr">
        <is>
          <t>Hỏa tốc</t>
        </is>
      </c>
      <c r="E25" t="n">
        <v>5.9</v>
      </c>
      <c r="F25" s="2">
        <f>IFERROR(VLOOKUP(C25&amp;"|"&amp;D25,Bang_gia!$A$2:$B$10,2,FALSE),"Không tìm thấy mã/khu vực/dịch vụ")</f>
        <v/>
      </c>
      <c r="G25" t="inlineStr">
        <is>
          <t>Mới tạo</t>
        </is>
      </c>
    </row>
    <row r="26">
      <c r="A26" t="inlineStr">
        <is>
          <t>FM000025</t>
        </is>
      </c>
      <c r="B26" t="inlineStr">
        <is>
          <t>2026-10-22</t>
        </is>
      </c>
      <c r="C26" t="inlineStr">
        <is>
          <t>Nội thành</t>
        </is>
      </c>
      <c r="D26" t="inlineStr">
        <is>
          <t>Tiêu chuẩn</t>
        </is>
      </c>
      <c r="E26" t="n">
        <v>2.3</v>
      </c>
      <c r="F26" s="2">
        <f>IFERROR(VLOOKUP(C26&amp;"|"&amp;D26,Bang_gia!$A$2:$B$10,2,FALSE),"Không tìm thấy mã/khu vực/dịch vụ")</f>
        <v/>
      </c>
      <c r="G26" t="inlineStr">
        <is>
          <t>Đã giao</t>
        </is>
      </c>
    </row>
    <row r="27">
      <c r="A27" t="inlineStr">
        <is>
          <t>FM000026</t>
        </is>
      </c>
      <c r="B27" t="inlineStr">
        <is>
          <t>2026-10-16</t>
        </is>
      </c>
      <c r="C27" t="inlineStr">
        <is>
          <t>Nội thành</t>
        </is>
      </c>
      <c r="D27" t="inlineStr">
        <is>
          <t>Hỏa tốc</t>
        </is>
      </c>
      <c r="E27" t="n">
        <v>14.2</v>
      </c>
      <c r="F27" s="2">
        <f>IFERROR(VLOOKUP(C27&amp;"|"&amp;D27,Bang_gia!$A$2:$B$10,2,FALSE),"Không tìm thấy mã/khu vực/dịch vụ")</f>
        <v/>
      </c>
      <c r="G27" t="inlineStr">
        <is>
          <t>Mới tạo</t>
        </is>
      </c>
    </row>
    <row r="28">
      <c r="A28" t="inlineStr">
        <is>
          <t>FM000027</t>
        </is>
      </c>
      <c r="B28" t="inlineStr">
        <is>
          <t>2026-10-05</t>
        </is>
      </c>
      <c r="C28" t="inlineStr">
        <is>
          <t>Nội thành</t>
        </is>
      </c>
      <c r="D28" t="inlineStr">
        <is>
          <t>Tiêu chuẩn</t>
        </is>
      </c>
      <c r="E28" t="n">
        <v>6.9</v>
      </c>
      <c r="F28" s="2">
        <f>IFERROR(VLOOKUP(C28&amp;"|"&amp;D28,Bang_gia!$A$2:$B$10,2,FALSE),"Không tìm thấy mã/khu vực/dịch vụ")</f>
        <v/>
      </c>
      <c r="G28" t="inlineStr">
        <is>
          <t>Mới tạo</t>
        </is>
      </c>
    </row>
    <row r="29">
      <c r="A29" t="inlineStr">
        <is>
          <t>FM000028</t>
        </is>
      </c>
      <c r="B29" t="inlineStr">
        <is>
          <t>2026-10-12</t>
        </is>
      </c>
      <c r="C29" t="inlineStr">
        <is>
          <t>Liên tỉnh</t>
        </is>
      </c>
      <c r="D29" t="inlineStr">
        <is>
          <t>Nhanh</t>
        </is>
      </c>
      <c r="E29" t="n">
        <v>6.6</v>
      </c>
      <c r="F29" s="2">
        <f>IFERROR(VLOOKUP(C29&amp;"|"&amp;D29,Bang_gia!$A$2:$B$10,2,FALSE),"Không tìm thấy mã/khu vực/dịch vụ")</f>
        <v/>
      </c>
      <c r="G29" t="inlineStr">
        <is>
          <t>Đã giao</t>
        </is>
      </c>
    </row>
    <row r="30">
      <c r="A30" t="inlineStr">
        <is>
          <t>FM000029</t>
        </is>
      </c>
      <c r="B30" t="inlineStr">
        <is>
          <t>2026-10-16</t>
        </is>
      </c>
      <c r="C30" t="inlineStr">
        <is>
          <t>Nội thành</t>
        </is>
      </c>
      <c r="D30" t="inlineStr">
        <is>
          <t>Hỏa tốc</t>
        </is>
      </c>
      <c r="E30" t="n">
        <v>4.4</v>
      </c>
      <c r="F30" s="2">
        <f>IFERROR(VLOOKUP(C30&amp;"|"&amp;D30,Bang_gia!$A$2:$B$10,2,FALSE),"Không tìm thấy mã/khu vực/dịch vụ")</f>
        <v/>
      </c>
      <c r="G30" t="inlineStr">
        <is>
          <t>Mới tạo</t>
        </is>
      </c>
    </row>
    <row r="31">
      <c r="A31" t="inlineStr">
        <is>
          <t>FM000030</t>
        </is>
      </c>
      <c r="B31" t="inlineStr">
        <is>
          <t>2026-10-06</t>
        </is>
      </c>
      <c r="C31" t="inlineStr">
        <is>
          <t>Liên tỉnh</t>
        </is>
      </c>
      <c r="D31" t="inlineStr">
        <is>
          <t>Tiêu chuẩn</t>
        </is>
      </c>
      <c r="E31" t="n">
        <v>6.9</v>
      </c>
      <c r="F31" s="2">
        <f>IFERROR(VLOOKUP(C31&amp;"|"&amp;D31,Bang_gia!$A$2:$B$10,2,FALSE),"Không tìm thấy mã/khu vực/dịch vụ")</f>
        <v/>
      </c>
      <c r="G31" t="inlineStr">
        <is>
          <t>Chờ xử lý</t>
        </is>
      </c>
    </row>
    <row r="32">
      <c r="A32" t="inlineStr">
        <is>
          <t>FM000031</t>
        </is>
      </c>
      <c r="B32" t="inlineStr">
        <is>
          <t>2026-10-03</t>
        </is>
      </c>
      <c r="C32" t="inlineStr">
        <is>
          <t>Ngoại thành</t>
        </is>
      </c>
      <c r="D32" t="inlineStr">
        <is>
          <t>Tiêu chuẩn</t>
        </is>
      </c>
      <c r="E32" t="n">
        <v>4.2</v>
      </c>
      <c r="F32" s="2">
        <f>IFERROR(VLOOKUP(C32&amp;"|"&amp;D32,Bang_gia!$A$2:$B$10,2,FALSE),"Không tìm thấy mã/khu vực/dịch vụ")</f>
        <v/>
      </c>
      <c r="G32" t="inlineStr">
        <is>
          <t>Đang giao</t>
        </is>
      </c>
    </row>
    <row r="33">
      <c r="A33" t="inlineStr">
        <is>
          <t>FM000032</t>
        </is>
      </c>
      <c r="B33" t="inlineStr">
        <is>
          <t>2026-10-26</t>
        </is>
      </c>
      <c r="C33" t="inlineStr">
        <is>
          <t>Ngoại thành</t>
        </is>
      </c>
      <c r="D33" t="inlineStr">
        <is>
          <t>Nhanh</t>
        </is>
      </c>
      <c r="E33" t="n">
        <v>3.3</v>
      </c>
      <c r="F33" s="2">
        <f>IFERROR(VLOOKUP(C33&amp;"|"&amp;D33,Bang_gia!$A$2:$B$10,2,FALSE),"Không tìm thấy mã/khu vực/dịch vụ")</f>
        <v/>
      </c>
      <c r="G33" t="inlineStr">
        <is>
          <t>Mới tạo</t>
        </is>
      </c>
    </row>
    <row r="34">
      <c r="A34" t="inlineStr">
        <is>
          <t>FM000033</t>
        </is>
      </c>
      <c r="B34" t="inlineStr">
        <is>
          <t>2026-10-24</t>
        </is>
      </c>
      <c r="C34" t="inlineStr">
        <is>
          <t>Nội thành</t>
        </is>
      </c>
      <c r="D34" t="inlineStr">
        <is>
          <t>Hỏa tốc</t>
        </is>
      </c>
      <c r="E34" t="n">
        <v>9.199999999999999</v>
      </c>
      <c r="F34" s="2">
        <f>IFERROR(VLOOKUP(C34&amp;"|"&amp;D34,Bang_gia!$A$2:$B$10,2,FALSE),"Không tìm thấy mã/khu vực/dịch vụ")</f>
        <v/>
      </c>
      <c r="G34" t="inlineStr">
        <is>
          <t>Đang giao</t>
        </is>
      </c>
    </row>
    <row r="35">
      <c r="A35" t="inlineStr">
        <is>
          <t>FM000034</t>
        </is>
      </c>
      <c r="B35" t="inlineStr">
        <is>
          <t>2026-10-17</t>
        </is>
      </c>
      <c r="C35" t="inlineStr">
        <is>
          <t>Liên tỉnh</t>
        </is>
      </c>
      <c r="D35" t="inlineStr">
        <is>
          <t>Nhanh</t>
        </is>
      </c>
      <c r="E35" t="n">
        <v>14.6</v>
      </c>
      <c r="F35" s="2">
        <f>IFERROR(VLOOKUP(C35&amp;"|"&amp;D35,Bang_gia!$A$2:$B$10,2,FALSE),"Không tìm thấy mã/khu vực/dịch vụ")</f>
        <v/>
      </c>
      <c r="G35" t="inlineStr">
        <is>
          <t>Chờ xử lý</t>
        </is>
      </c>
    </row>
    <row r="36">
      <c r="A36" t="inlineStr">
        <is>
          <t>FM000035</t>
        </is>
      </c>
      <c r="B36" t="inlineStr">
        <is>
          <t>2026-10-12</t>
        </is>
      </c>
      <c r="C36" t="inlineStr">
        <is>
          <t>Liên tỉnh</t>
        </is>
      </c>
      <c r="D36" t="inlineStr">
        <is>
          <t>Nhanh</t>
        </is>
      </c>
      <c r="E36" t="n">
        <v>9.199999999999999</v>
      </c>
      <c r="F36" s="2">
        <f>IFERROR(VLOOKUP(C36&amp;"|"&amp;D36,Bang_gia!$A$2:$B$10,2,FALSE),"Không tìm thấy mã/khu vực/dịch vụ")</f>
        <v/>
      </c>
      <c r="G36" t="inlineStr">
        <is>
          <t>Mới tạo</t>
        </is>
      </c>
    </row>
    <row r="37">
      <c r="A37" t="inlineStr">
        <is>
          <t>FM000036</t>
        </is>
      </c>
      <c r="B37" t="inlineStr">
        <is>
          <t>2026-10-15</t>
        </is>
      </c>
      <c r="C37" t="inlineStr">
        <is>
          <t>Nội thành</t>
        </is>
      </c>
      <c r="D37" t="inlineStr">
        <is>
          <t>Tiêu chuẩn</t>
        </is>
      </c>
      <c r="E37" t="n">
        <v>2.4</v>
      </c>
      <c r="F37" s="2">
        <f>IFERROR(VLOOKUP(C37&amp;"|"&amp;D37,Bang_gia!$A$2:$B$10,2,FALSE),"Không tìm thấy mã/khu vực/dịch vụ")</f>
        <v/>
      </c>
      <c r="G37" t="inlineStr">
        <is>
          <t>Đang giao</t>
        </is>
      </c>
    </row>
    <row r="38">
      <c r="A38" t="inlineStr">
        <is>
          <t>FM000037</t>
        </is>
      </c>
      <c r="B38" t="inlineStr">
        <is>
          <t>2026-10-23</t>
        </is>
      </c>
      <c r="C38" t="inlineStr">
        <is>
          <t>Liên tỉnh</t>
        </is>
      </c>
      <c r="D38" t="inlineStr">
        <is>
          <t>Tiêu chuẩn</t>
        </is>
      </c>
      <c r="E38" t="n">
        <v>12.1</v>
      </c>
      <c r="F38" s="2">
        <f>IFERROR(VLOOKUP(C38&amp;"|"&amp;D38,Bang_gia!$A$2:$B$10,2,FALSE),"Không tìm thấy mã/khu vực/dịch vụ")</f>
        <v/>
      </c>
      <c r="G38" t="inlineStr">
        <is>
          <t>Mới tạo</t>
        </is>
      </c>
    </row>
    <row r="39">
      <c r="A39" t="inlineStr">
        <is>
          <t>FM000038</t>
        </is>
      </c>
      <c r="B39" t="inlineStr">
        <is>
          <t>2026-10-14</t>
        </is>
      </c>
      <c r="C39" t="inlineStr">
        <is>
          <t>Liên tỉnh</t>
        </is>
      </c>
      <c r="D39" t="inlineStr">
        <is>
          <t>Nhanh</t>
        </is>
      </c>
      <c r="E39" t="n">
        <v>10.7</v>
      </c>
      <c r="F39" s="2">
        <f>IFERROR(VLOOKUP(C39&amp;"|"&amp;D39,Bang_gia!$A$2:$B$10,2,FALSE),"Không tìm thấy mã/khu vực/dịch vụ")</f>
        <v/>
      </c>
      <c r="G39" t="inlineStr">
        <is>
          <t>Đang giao</t>
        </is>
      </c>
    </row>
    <row r="40">
      <c r="A40" t="inlineStr">
        <is>
          <t>FM000039</t>
        </is>
      </c>
      <c r="B40" t="inlineStr">
        <is>
          <t>2026-10-11</t>
        </is>
      </c>
      <c r="C40" t="inlineStr">
        <is>
          <t>Liên tỉnh</t>
        </is>
      </c>
      <c r="D40" t="inlineStr">
        <is>
          <t>Tiêu chuẩn</t>
        </is>
      </c>
      <c r="E40" t="n">
        <v>10.6</v>
      </c>
      <c r="F40" s="2">
        <f>IFERROR(VLOOKUP(C40&amp;"|"&amp;D40,Bang_gia!$A$2:$B$10,2,FALSE),"Không tìm thấy mã/khu vực/dịch vụ")</f>
        <v/>
      </c>
      <c r="G40" t="inlineStr">
        <is>
          <t>Đang giao</t>
        </is>
      </c>
    </row>
    <row r="41">
      <c r="A41" t="inlineStr">
        <is>
          <t>FM000040</t>
        </is>
      </c>
      <c r="B41" t="inlineStr">
        <is>
          <t>2026-10-20</t>
        </is>
      </c>
      <c r="C41" t="inlineStr">
        <is>
          <t>Nội thành</t>
        </is>
      </c>
      <c r="D41" t="inlineStr">
        <is>
          <t>Nhanh</t>
        </is>
      </c>
      <c r="E41" t="n">
        <v>6.1</v>
      </c>
      <c r="F41" s="2">
        <f>IFERROR(VLOOKUP(C41&amp;"|"&amp;D41,Bang_gia!$A$2:$B$10,2,FALSE),"Không tìm thấy mã/khu vực/dịch vụ")</f>
        <v/>
      </c>
      <c r="G41" t="inlineStr">
        <is>
          <t>Mới tạo</t>
        </is>
      </c>
    </row>
    <row r="42">
      <c r="A42" t="inlineStr">
        <is>
          <t>FM000041</t>
        </is>
      </c>
      <c r="B42" t="inlineStr">
        <is>
          <t>2026-10-13</t>
        </is>
      </c>
      <c r="C42" t="inlineStr">
        <is>
          <t>Liên tỉnh</t>
        </is>
      </c>
      <c r="D42" t="inlineStr">
        <is>
          <t>Nhanh</t>
        </is>
      </c>
      <c r="E42" t="n">
        <v>4.6</v>
      </c>
      <c r="F42" s="2">
        <f>IFERROR(VLOOKUP(C42&amp;"|"&amp;D42,Bang_gia!$A$2:$B$10,2,FALSE),"Không tìm thấy mã/khu vực/dịch vụ")</f>
        <v/>
      </c>
      <c r="G42" t="inlineStr">
        <is>
          <t>Đã giao</t>
        </is>
      </c>
    </row>
    <row r="43">
      <c r="A43" t="inlineStr">
        <is>
          <t>FM000042</t>
        </is>
      </c>
      <c r="B43" t="inlineStr">
        <is>
          <t>2026-10-14</t>
        </is>
      </c>
      <c r="C43" t="inlineStr">
        <is>
          <t>Nội thành</t>
        </is>
      </c>
      <c r="D43" t="inlineStr">
        <is>
          <t>Hỏa tốc</t>
        </is>
      </c>
      <c r="E43" t="n">
        <v>19.5</v>
      </c>
      <c r="F43" s="2">
        <f>IFERROR(VLOOKUP(C43&amp;"|"&amp;D43,Bang_gia!$A$2:$B$10,2,FALSE),"Không tìm thấy mã/khu vực/dịch vụ")</f>
        <v/>
      </c>
      <c r="G43" t="inlineStr">
        <is>
          <t>Đã giao</t>
        </is>
      </c>
    </row>
    <row r="44">
      <c r="A44" t="inlineStr">
        <is>
          <t>FM000043</t>
        </is>
      </c>
      <c r="B44" t="inlineStr">
        <is>
          <t>2026-10-17</t>
        </is>
      </c>
      <c r="C44" t="inlineStr">
        <is>
          <t>Liên tỉnh</t>
        </is>
      </c>
      <c r="D44" t="inlineStr">
        <is>
          <t>Nhanh</t>
        </is>
      </c>
      <c r="E44" t="n">
        <v>6.2</v>
      </c>
      <c r="F44" s="2">
        <f>IFERROR(VLOOKUP(C44&amp;"|"&amp;D44,Bang_gia!$A$2:$B$10,2,FALSE),"Không tìm thấy mã/khu vực/dịch vụ")</f>
        <v/>
      </c>
      <c r="G44" t="inlineStr">
        <is>
          <t>Đã giao</t>
        </is>
      </c>
    </row>
    <row r="45">
      <c r="A45" t="inlineStr">
        <is>
          <t>FM000044</t>
        </is>
      </c>
      <c r="B45" t="inlineStr">
        <is>
          <t>2026-10-04</t>
        </is>
      </c>
      <c r="C45" t="inlineStr">
        <is>
          <t>Ngoại thành</t>
        </is>
      </c>
      <c r="D45" t="inlineStr">
        <is>
          <t>Hỏa tốc</t>
        </is>
      </c>
      <c r="E45" t="n">
        <v>4.1</v>
      </c>
      <c r="F45" s="2">
        <f>IFERROR(VLOOKUP(C45&amp;"|"&amp;D45,Bang_gia!$A$2:$B$10,2,FALSE),"Không tìm thấy mã/khu vực/dịch vụ")</f>
        <v/>
      </c>
      <c r="G45" t="inlineStr">
        <is>
          <t>Đã giao</t>
        </is>
      </c>
    </row>
    <row r="46">
      <c r="A46" t="inlineStr">
        <is>
          <t>FM000045</t>
        </is>
      </c>
      <c r="B46" t="inlineStr">
        <is>
          <t>2026-10-10</t>
        </is>
      </c>
      <c r="C46" t="inlineStr">
        <is>
          <t>Ngoại thành</t>
        </is>
      </c>
      <c r="D46" t="inlineStr">
        <is>
          <t>Hỏa tốc</t>
        </is>
      </c>
      <c r="E46" t="n">
        <v>4.3</v>
      </c>
      <c r="F46" s="2">
        <f>IFERROR(VLOOKUP(C46&amp;"|"&amp;D46,Bang_gia!$A$2:$B$10,2,FALSE),"Không tìm thấy mã/khu vực/dịch vụ")</f>
        <v/>
      </c>
      <c r="G46" t="inlineStr">
        <is>
          <t>Chờ xử lý</t>
        </is>
      </c>
    </row>
    <row r="47">
      <c r="A47" t="inlineStr">
        <is>
          <t>FM000046</t>
        </is>
      </c>
      <c r="B47" t="inlineStr">
        <is>
          <t>2026-10-22</t>
        </is>
      </c>
      <c r="C47" t="inlineStr">
        <is>
          <t>Liên tỉnh</t>
        </is>
      </c>
      <c r="D47" t="inlineStr">
        <is>
          <t>Nhanh</t>
        </is>
      </c>
      <c r="E47" t="n">
        <v>10.6</v>
      </c>
      <c r="F47" s="2">
        <f>IFERROR(VLOOKUP(C47&amp;"|"&amp;D47,Bang_gia!$A$2:$B$10,2,FALSE),"Không tìm thấy mã/khu vực/dịch vụ")</f>
        <v/>
      </c>
      <c r="G47" t="inlineStr">
        <is>
          <t>Đã giao</t>
        </is>
      </c>
    </row>
    <row r="48">
      <c r="A48" t="inlineStr">
        <is>
          <t>FM000047</t>
        </is>
      </c>
      <c r="B48" t="inlineStr">
        <is>
          <t>2026-10-19</t>
        </is>
      </c>
      <c r="C48" t="inlineStr">
        <is>
          <t>Liên tỉnh</t>
        </is>
      </c>
      <c r="D48" t="inlineStr">
        <is>
          <t>Hỏa tốc</t>
        </is>
      </c>
      <c r="E48" t="n">
        <v>7.4</v>
      </c>
      <c r="F48" s="2">
        <f>IFERROR(VLOOKUP(C48&amp;"|"&amp;D48,Bang_gia!$A$2:$B$10,2,FALSE),"Không tìm thấy mã/khu vực/dịch vụ")</f>
        <v/>
      </c>
      <c r="G48" t="inlineStr">
        <is>
          <t>Chờ xử lý</t>
        </is>
      </c>
    </row>
    <row r="49">
      <c r="A49" t="inlineStr">
        <is>
          <t>FM000048</t>
        </is>
      </c>
      <c r="B49" t="inlineStr">
        <is>
          <t>2026-10-17</t>
        </is>
      </c>
      <c r="C49" t="inlineStr">
        <is>
          <t>Nội thành</t>
        </is>
      </c>
      <c r="D49" t="inlineStr">
        <is>
          <t>Nhanh</t>
        </is>
      </c>
      <c r="E49" t="n">
        <v>10.2</v>
      </c>
      <c r="F49" s="2">
        <f>IFERROR(VLOOKUP(C49&amp;"|"&amp;D49,Bang_gia!$A$2:$B$10,2,FALSE),"Không tìm thấy mã/khu vực/dịch vụ")</f>
        <v/>
      </c>
      <c r="G49" t="inlineStr">
        <is>
          <t>Mới tạo</t>
        </is>
      </c>
    </row>
    <row r="50">
      <c r="A50" t="inlineStr">
        <is>
          <t>FM000049</t>
        </is>
      </c>
      <c r="B50" t="inlineStr">
        <is>
          <t>2026-10-03</t>
        </is>
      </c>
      <c r="C50" t="inlineStr">
        <is>
          <t>Ngoại thành</t>
        </is>
      </c>
      <c r="D50" t="inlineStr">
        <is>
          <t>Tiêu chuẩn</t>
        </is>
      </c>
      <c r="E50" t="n">
        <v>10.1</v>
      </c>
      <c r="F50" s="2">
        <f>IFERROR(VLOOKUP(C50&amp;"|"&amp;D50,Bang_gia!$A$2:$B$10,2,FALSE),"Không tìm thấy mã/khu vực/dịch vụ")</f>
        <v/>
      </c>
      <c r="G50" t="inlineStr">
        <is>
          <t>Đã giao</t>
        </is>
      </c>
    </row>
    <row r="51">
      <c r="A51" t="inlineStr">
        <is>
          <t>FM000050</t>
        </is>
      </c>
      <c r="B51" t="inlineStr">
        <is>
          <t>2026-10-20</t>
        </is>
      </c>
      <c r="C51" t="inlineStr">
        <is>
          <t>Ngoại thành</t>
        </is>
      </c>
      <c r="D51" t="inlineStr">
        <is>
          <t>Tiêu chuẩn</t>
        </is>
      </c>
      <c r="E51" t="n">
        <v>16.6</v>
      </c>
      <c r="F51" s="2">
        <f>IFERROR(VLOOKUP(C51&amp;"|"&amp;D51,Bang_gia!$A$2:$B$10,2,FALSE),"Không tìm thấy mã/khu vực/dịch vụ")</f>
        <v/>
      </c>
      <c r="G51" t="inlineStr">
        <is>
          <t>Đã giao</t>
        </is>
      </c>
    </row>
    <row r="52">
      <c r="A52" t="inlineStr">
        <is>
          <t>FM000051</t>
        </is>
      </c>
      <c r="B52" t="inlineStr">
        <is>
          <t>2026-10-26</t>
        </is>
      </c>
      <c r="C52" t="inlineStr">
        <is>
          <t>Ngoại thành</t>
        </is>
      </c>
      <c r="D52" t="inlineStr">
        <is>
          <t>Nhanh</t>
        </is>
      </c>
      <c r="E52" t="n">
        <v>16.5</v>
      </c>
      <c r="F52" s="2">
        <f>IFERROR(VLOOKUP(C52&amp;"|"&amp;D52,Bang_gia!$A$2:$B$10,2,FALSE),"Không tìm thấy mã/khu vực/dịch vụ")</f>
        <v/>
      </c>
      <c r="G52" t="inlineStr">
        <is>
          <t>Đã giao</t>
        </is>
      </c>
    </row>
    <row r="53">
      <c r="A53" t="inlineStr">
        <is>
          <t>FM000052</t>
        </is>
      </c>
      <c r="B53" t="inlineStr">
        <is>
          <t>2026-10-14</t>
        </is>
      </c>
      <c r="C53" t="inlineStr">
        <is>
          <t>Ngoại thành</t>
        </is>
      </c>
      <c r="D53" t="inlineStr">
        <is>
          <t>Hỏa tốc</t>
        </is>
      </c>
      <c r="E53" t="n">
        <v>5</v>
      </c>
      <c r="F53" s="2">
        <f>IFERROR(VLOOKUP(C53&amp;"|"&amp;D53,Bang_gia!$A$2:$B$10,2,FALSE),"Không tìm thấy mã/khu vực/dịch vụ")</f>
        <v/>
      </c>
      <c r="G53" t="inlineStr">
        <is>
          <t>Đang giao</t>
        </is>
      </c>
    </row>
    <row r="54">
      <c r="A54" t="inlineStr">
        <is>
          <t>FM000053</t>
        </is>
      </c>
      <c r="B54" t="inlineStr">
        <is>
          <t>2026-10-24</t>
        </is>
      </c>
      <c r="C54" t="inlineStr">
        <is>
          <t>Nội thành</t>
        </is>
      </c>
      <c r="D54" t="inlineStr">
        <is>
          <t>Hỏa tốc</t>
        </is>
      </c>
      <c r="E54" t="n">
        <v>9.300000000000001</v>
      </c>
      <c r="F54" s="2">
        <f>IFERROR(VLOOKUP(C54&amp;"|"&amp;D54,Bang_gia!$A$2:$B$10,2,FALSE),"Không tìm thấy mã/khu vực/dịch vụ")</f>
        <v/>
      </c>
      <c r="G54" t="inlineStr">
        <is>
          <t>Đang giao</t>
        </is>
      </c>
    </row>
    <row r="55">
      <c r="A55" t="inlineStr">
        <is>
          <t>FM000054</t>
        </is>
      </c>
      <c r="B55" t="inlineStr">
        <is>
          <t>2026-10-07</t>
        </is>
      </c>
      <c r="C55" t="inlineStr">
        <is>
          <t>Liên tỉnh</t>
        </is>
      </c>
      <c r="D55" t="inlineStr">
        <is>
          <t>Hỏa tốc</t>
        </is>
      </c>
      <c r="E55" t="n">
        <v>7.5</v>
      </c>
      <c r="F55" s="2">
        <f>IFERROR(VLOOKUP(C55&amp;"|"&amp;D55,Bang_gia!$A$2:$B$10,2,FALSE),"Không tìm thấy mã/khu vực/dịch vụ")</f>
        <v/>
      </c>
      <c r="G55" t="inlineStr">
        <is>
          <t>Mới tạo</t>
        </is>
      </c>
    </row>
    <row r="56">
      <c r="A56" t="inlineStr">
        <is>
          <t>FM000055</t>
        </is>
      </c>
      <c r="B56" t="inlineStr">
        <is>
          <t>2026-10-03</t>
        </is>
      </c>
      <c r="C56" t="inlineStr">
        <is>
          <t>Nội thành</t>
        </is>
      </c>
      <c r="D56" t="inlineStr">
        <is>
          <t>Nhanh</t>
        </is>
      </c>
      <c r="E56" t="n">
        <v>13.2</v>
      </c>
      <c r="F56" s="2">
        <f>IFERROR(VLOOKUP(C56&amp;"|"&amp;D56,Bang_gia!$A$2:$B$10,2,FALSE),"Không tìm thấy mã/khu vực/dịch vụ")</f>
        <v/>
      </c>
      <c r="G56" t="inlineStr">
        <is>
          <t>Chờ xử lý</t>
        </is>
      </c>
    </row>
    <row r="57">
      <c r="A57" t="inlineStr">
        <is>
          <t>FM000056</t>
        </is>
      </c>
      <c r="B57" t="inlineStr">
        <is>
          <t>2026-10-01</t>
        </is>
      </c>
      <c r="C57" t="inlineStr">
        <is>
          <t>Nội thành</t>
        </is>
      </c>
      <c r="D57" t="inlineStr">
        <is>
          <t>Tiêu chuẩn</t>
        </is>
      </c>
      <c r="E57" t="n">
        <v>12.3</v>
      </c>
      <c r="F57" s="2">
        <f>IFERROR(VLOOKUP(C57&amp;"|"&amp;D57,Bang_gia!$A$2:$B$10,2,FALSE),"Không tìm thấy mã/khu vực/dịch vụ")</f>
        <v/>
      </c>
      <c r="G57" t="inlineStr">
        <is>
          <t>Đã giao</t>
        </is>
      </c>
    </row>
    <row r="58">
      <c r="A58" t="inlineStr">
        <is>
          <t>FM000057</t>
        </is>
      </c>
      <c r="B58" t="inlineStr">
        <is>
          <t>2026-10-15</t>
        </is>
      </c>
      <c r="C58" t="inlineStr">
        <is>
          <t>Nội thành</t>
        </is>
      </c>
      <c r="D58" t="inlineStr">
        <is>
          <t>Tiêu chuẩn</t>
        </is>
      </c>
      <c r="E58" t="n">
        <v>9.300000000000001</v>
      </c>
      <c r="F58" s="2">
        <f>IFERROR(VLOOKUP(C58&amp;"|"&amp;D58,Bang_gia!$A$2:$B$10,2,FALSE),"Không tìm thấy mã/khu vực/dịch vụ")</f>
        <v/>
      </c>
      <c r="G58" t="inlineStr">
        <is>
          <t>Đã giao</t>
        </is>
      </c>
    </row>
    <row r="59">
      <c r="A59" t="inlineStr">
        <is>
          <t>FM000058</t>
        </is>
      </c>
      <c r="B59" t="inlineStr">
        <is>
          <t>2026-10-05</t>
        </is>
      </c>
      <c r="C59" t="inlineStr">
        <is>
          <t>Liên tỉnh</t>
        </is>
      </c>
      <c r="D59" t="inlineStr">
        <is>
          <t>Tiêu chuẩn</t>
        </is>
      </c>
      <c r="E59" t="n">
        <v>12.2</v>
      </c>
      <c r="F59" s="2">
        <f>IFERROR(VLOOKUP(C59&amp;"|"&amp;D59,Bang_gia!$A$2:$B$10,2,FALSE),"Không tìm thấy mã/khu vực/dịch vụ")</f>
        <v/>
      </c>
      <c r="G59" t="inlineStr">
        <is>
          <t>Mới tạo</t>
        </is>
      </c>
    </row>
    <row r="60">
      <c r="A60" t="inlineStr">
        <is>
          <t>FM000059</t>
        </is>
      </c>
      <c r="B60" t="inlineStr">
        <is>
          <t>2026-10-03</t>
        </is>
      </c>
      <c r="C60" t="inlineStr">
        <is>
          <t>Ngoại thành</t>
        </is>
      </c>
      <c r="D60" t="inlineStr">
        <is>
          <t>Tiêu chuẩn</t>
        </is>
      </c>
      <c r="E60" t="n">
        <v>17.2</v>
      </c>
      <c r="F60" s="2">
        <f>IFERROR(VLOOKUP(C60&amp;"|"&amp;D60,Bang_gia!$A$2:$B$10,2,FALSE),"Không tìm thấy mã/khu vực/dịch vụ")</f>
        <v/>
      </c>
      <c r="G60" t="inlineStr">
        <is>
          <t>Đã giao</t>
        </is>
      </c>
    </row>
    <row r="61">
      <c r="A61" t="inlineStr">
        <is>
          <t>FM000060</t>
        </is>
      </c>
      <c r="B61" t="inlineStr">
        <is>
          <t>2026-10-24</t>
        </is>
      </c>
      <c r="C61" t="inlineStr">
        <is>
          <t>Nội thành</t>
        </is>
      </c>
      <c r="D61" t="inlineStr">
        <is>
          <t>Tiêu chuẩn</t>
        </is>
      </c>
      <c r="E61" t="n">
        <v>0.9</v>
      </c>
      <c r="F61" s="2">
        <f>IFERROR(VLOOKUP(C61&amp;"|"&amp;D61,Bang_gia!$A$2:$B$10,2,FALSE),"Không tìm thấy mã/khu vực/dịch vụ")</f>
        <v/>
      </c>
      <c r="G61" t="inlineStr">
        <is>
          <t>Đã giao</t>
        </is>
      </c>
    </row>
    <row r="62">
      <c r="A62" t="inlineStr">
        <is>
          <t>FM000061</t>
        </is>
      </c>
      <c r="B62" t="inlineStr">
        <is>
          <t>2026-10-24</t>
        </is>
      </c>
      <c r="C62" t="inlineStr">
        <is>
          <t>Nội thành</t>
        </is>
      </c>
      <c r="D62" t="inlineStr">
        <is>
          <t>Nhanh</t>
        </is>
      </c>
      <c r="E62" t="n">
        <v>7.3</v>
      </c>
      <c r="F62" s="2">
        <f>IFERROR(VLOOKUP(C62&amp;"|"&amp;D62,Bang_gia!$A$2:$B$10,2,FALSE),"Không tìm thấy mã/khu vực/dịch vụ")</f>
        <v/>
      </c>
      <c r="G62" t="inlineStr">
        <is>
          <t>Đã giao</t>
        </is>
      </c>
    </row>
    <row r="63">
      <c r="A63" t="inlineStr">
        <is>
          <t>FM000062</t>
        </is>
      </c>
      <c r="B63" t="inlineStr">
        <is>
          <t>2026-10-04</t>
        </is>
      </c>
      <c r="C63" t="inlineStr">
        <is>
          <t>Nội thành</t>
        </is>
      </c>
      <c r="D63" t="inlineStr">
        <is>
          <t>Hỏa tốc</t>
        </is>
      </c>
      <c r="E63" t="n">
        <v>18.3</v>
      </c>
      <c r="F63" s="2">
        <f>IFERROR(VLOOKUP(C63&amp;"|"&amp;D63,Bang_gia!$A$2:$B$10,2,FALSE),"Không tìm thấy mã/khu vực/dịch vụ")</f>
        <v/>
      </c>
      <c r="G63" t="inlineStr">
        <is>
          <t>Đã giao</t>
        </is>
      </c>
    </row>
    <row r="64">
      <c r="A64" t="inlineStr">
        <is>
          <t>FM000063</t>
        </is>
      </c>
      <c r="B64" t="inlineStr">
        <is>
          <t>2026-10-06</t>
        </is>
      </c>
      <c r="C64" t="inlineStr">
        <is>
          <t>Ngoại thành</t>
        </is>
      </c>
      <c r="D64" t="inlineStr">
        <is>
          <t>Tiêu chuẩn</t>
        </is>
      </c>
      <c r="E64" t="n">
        <v>5.2</v>
      </c>
      <c r="F64" s="2">
        <f>IFERROR(VLOOKUP(C64&amp;"|"&amp;D64,Bang_gia!$A$2:$B$10,2,FALSE),"Không tìm thấy mã/khu vực/dịch vụ")</f>
        <v/>
      </c>
      <c r="G64" t="inlineStr">
        <is>
          <t>Chờ xử lý</t>
        </is>
      </c>
    </row>
    <row r="65">
      <c r="A65" t="inlineStr">
        <is>
          <t>FM000064</t>
        </is>
      </c>
      <c r="B65" t="inlineStr">
        <is>
          <t>2026-10-24</t>
        </is>
      </c>
      <c r="C65" t="inlineStr">
        <is>
          <t>Nội thành</t>
        </is>
      </c>
      <c r="D65" t="inlineStr">
        <is>
          <t>Nhanh</t>
        </is>
      </c>
      <c r="E65" t="n">
        <v>15.7</v>
      </c>
      <c r="F65" s="2">
        <f>IFERROR(VLOOKUP(C65&amp;"|"&amp;D65,Bang_gia!$A$2:$B$10,2,FALSE),"Không tìm thấy mã/khu vực/dịch vụ")</f>
        <v/>
      </c>
      <c r="G65" t="inlineStr">
        <is>
          <t>Mới tạo</t>
        </is>
      </c>
    </row>
    <row r="66">
      <c r="A66" t="inlineStr">
        <is>
          <t>FM000065</t>
        </is>
      </c>
      <c r="B66" t="inlineStr">
        <is>
          <t>2026-10-03</t>
        </is>
      </c>
      <c r="C66" t="inlineStr">
        <is>
          <t>Liên tỉnh</t>
        </is>
      </c>
      <c r="D66" t="inlineStr">
        <is>
          <t>Tiêu chuẩn</t>
        </is>
      </c>
      <c r="E66" t="n">
        <v>6</v>
      </c>
      <c r="F66" s="2">
        <f>IFERROR(VLOOKUP(C66&amp;"|"&amp;D66,Bang_gia!$A$2:$B$10,2,FALSE),"Không tìm thấy mã/khu vực/dịch vụ")</f>
        <v/>
      </c>
      <c r="G66" t="inlineStr">
        <is>
          <t>Đang giao</t>
        </is>
      </c>
    </row>
    <row r="67">
      <c r="A67" t="inlineStr">
        <is>
          <t>FM000066</t>
        </is>
      </c>
      <c r="B67" t="inlineStr">
        <is>
          <t>2026-10-07</t>
        </is>
      </c>
      <c r="C67" t="inlineStr">
        <is>
          <t>Ngoại thành</t>
        </is>
      </c>
      <c r="D67" t="inlineStr">
        <is>
          <t>Hỏa tốc</t>
        </is>
      </c>
      <c r="E67" t="n">
        <v>2.4</v>
      </c>
      <c r="F67" s="2">
        <f>IFERROR(VLOOKUP(C67&amp;"|"&amp;D67,Bang_gia!$A$2:$B$10,2,FALSE),"Không tìm thấy mã/khu vực/dịch vụ")</f>
        <v/>
      </c>
      <c r="G67" t="inlineStr">
        <is>
          <t>Mới tạo</t>
        </is>
      </c>
    </row>
    <row r="68">
      <c r="A68" t="inlineStr">
        <is>
          <t>FM000067</t>
        </is>
      </c>
      <c r="B68" t="inlineStr">
        <is>
          <t>2026-10-26</t>
        </is>
      </c>
      <c r="C68" t="inlineStr">
        <is>
          <t>Nội thành</t>
        </is>
      </c>
      <c r="D68" t="inlineStr">
        <is>
          <t>Hỏa tốc</t>
        </is>
      </c>
      <c r="E68" t="n">
        <v>14.8</v>
      </c>
      <c r="F68" s="2">
        <f>IFERROR(VLOOKUP(C68&amp;"|"&amp;D68,Bang_gia!$A$2:$B$10,2,FALSE),"Không tìm thấy mã/khu vực/dịch vụ")</f>
        <v/>
      </c>
      <c r="G68" t="inlineStr">
        <is>
          <t>Đang giao</t>
        </is>
      </c>
    </row>
    <row r="69">
      <c r="A69" t="inlineStr">
        <is>
          <t>FM000068</t>
        </is>
      </c>
      <c r="B69" t="inlineStr">
        <is>
          <t>2026-10-11</t>
        </is>
      </c>
      <c r="C69" t="inlineStr">
        <is>
          <t>Liên tỉnh</t>
        </is>
      </c>
      <c r="D69" t="inlineStr">
        <is>
          <t>Hỏa tốc</t>
        </is>
      </c>
      <c r="E69" t="n">
        <v>6</v>
      </c>
      <c r="F69" s="2">
        <f>IFERROR(VLOOKUP(C69&amp;"|"&amp;D69,Bang_gia!$A$2:$B$10,2,FALSE),"Không tìm thấy mã/khu vực/dịch vụ")</f>
        <v/>
      </c>
      <c r="G69" t="inlineStr">
        <is>
          <t>Đang giao</t>
        </is>
      </c>
    </row>
    <row r="70">
      <c r="A70" t="inlineStr">
        <is>
          <t>FM000069</t>
        </is>
      </c>
      <c r="B70" t="inlineStr">
        <is>
          <t>2026-10-16</t>
        </is>
      </c>
      <c r="C70" t="inlineStr">
        <is>
          <t>Liên tỉnh</t>
        </is>
      </c>
      <c r="D70" t="inlineStr">
        <is>
          <t>Hỏa tốc</t>
        </is>
      </c>
      <c r="E70" t="n">
        <v>2.4</v>
      </c>
      <c r="F70" s="2">
        <f>IFERROR(VLOOKUP(C70&amp;"|"&amp;D70,Bang_gia!$A$2:$B$10,2,FALSE),"Không tìm thấy mã/khu vực/dịch vụ")</f>
        <v/>
      </c>
      <c r="G70" t="inlineStr">
        <is>
          <t>Mới tạo</t>
        </is>
      </c>
    </row>
    <row r="71">
      <c r="A71" t="inlineStr">
        <is>
          <t>FM000070</t>
        </is>
      </c>
      <c r="B71" t="inlineStr">
        <is>
          <t>2026-10-05</t>
        </is>
      </c>
      <c r="C71" t="inlineStr">
        <is>
          <t>Nội thành</t>
        </is>
      </c>
      <c r="D71" t="inlineStr">
        <is>
          <t>Hỏa tốc</t>
        </is>
      </c>
      <c r="E71" t="n">
        <v>4.7</v>
      </c>
      <c r="F71" s="2">
        <f>IFERROR(VLOOKUP(C71&amp;"|"&amp;D71,Bang_gia!$A$2:$B$10,2,FALSE),"Không tìm thấy mã/khu vực/dịch vụ")</f>
        <v/>
      </c>
      <c r="G71" t="inlineStr">
        <is>
          <t>Đang giao</t>
        </is>
      </c>
    </row>
    <row r="72">
      <c r="A72" t="inlineStr">
        <is>
          <t>FM000071</t>
        </is>
      </c>
      <c r="B72" t="inlineStr">
        <is>
          <t>2026-10-06</t>
        </is>
      </c>
      <c r="C72" t="inlineStr">
        <is>
          <t>Ngoại thành</t>
        </is>
      </c>
      <c r="D72" t="inlineStr">
        <is>
          <t>Tiêu chuẩn</t>
        </is>
      </c>
      <c r="E72" t="n">
        <v>2.9</v>
      </c>
      <c r="F72" s="2">
        <f>IFERROR(VLOOKUP(C72&amp;"|"&amp;D72,Bang_gia!$A$2:$B$10,2,FALSE),"Không tìm thấy mã/khu vực/dịch vụ")</f>
        <v/>
      </c>
      <c r="G72" t="inlineStr">
        <is>
          <t>Chờ xử lý</t>
        </is>
      </c>
    </row>
    <row r="73">
      <c r="A73" t="inlineStr">
        <is>
          <t>FM000072</t>
        </is>
      </c>
      <c r="B73" t="inlineStr">
        <is>
          <t>2026-10-15</t>
        </is>
      </c>
      <c r="C73" t="inlineStr">
        <is>
          <t>Nội thành</t>
        </is>
      </c>
      <c r="D73" t="inlineStr">
        <is>
          <t>Hỏa tốc</t>
        </is>
      </c>
      <c r="E73" t="n">
        <v>11.8</v>
      </c>
      <c r="F73" s="2">
        <f>IFERROR(VLOOKUP(C73&amp;"|"&amp;D73,Bang_gia!$A$2:$B$10,2,FALSE),"Không tìm thấy mã/khu vực/dịch vụ")</f>
        <v/>
      </c>
      <c r="G73" t="inlineStr">
        <is>
          <t>Đã giao</t>
        </is>
      </c>
    </row>
    <row r="74">
      <c r="A74" t="inlineStr">
        <is>
          <t>FM000073</t>
        </is>
      </c>
      <c r="B74" t="inlineStr">
        <is>
          <t>2026-10-19</t>
        </is>
      </c>
      <c r="C74" t="inlineStr">
        <is>
          <t>Ngoại thành</t>
        </is>
      </c>
      <c r="D74" t="inlineStr">
        <is>
          <t>Nhanh</t>
        </is>
      </c>
      <c r="E74" t="n">
        <v>13.8</v>
      </c>
      <c r="F74" s="2">
        <f>IFERROR(VLOOKUP(C74&amp;"|"&amp;D74,Bang_gia!$A$2:$B$10,2,FALSE),"Không tìm thấy mã/khu vực/dịch vụ")</f>
        <v/>
      </c>
      <c r="G74" t="inlineStr">
        <is>
          <t>Đã giao</t>
        </is>
      </c>
    </row>
    <row r="75">
      <c r="A75" t="inlineStr">
        <is>
          <t>FM000074</t>
        </is>
      </c>
      <c r="B75" t="inlineStr">
        <is>
          <t>2026-10-23</t>
        </is>
      </c>
      <c r="C75" t="inlineStr">
        <is>
          <t>Liên tỉnh</t>
        </is>
      </c>
      <c r="D75" t="inlineStr">
        <is>
          <t>Hỏa tốc</t>
        </is>
      </c>
      <c r="E75" t="n">
        <v>9.9</v>
      </c>
      <c r="F75" s="2">
        <f>IFERROR(VLOOKUP(C75&amp;"|"&amp;D75,Bang_gia!$A$2:$B$10,2,FALSE),"Không tìm thấy mã/khu vực/dịch vụ")</f>
        <v/>
      </c>
      <c r="G75" t="inlineStr">
        <is>
          <t>Đã giao</t>
        </is>
      </c>
    </row>
    <row r="76">
      <c r="A76" t="inlineStr">
        <is>
          <t>FM000075</t>
        </is>
      </c>
      <c r="B76" t="inlineStr">
        <is>
          <t>2026-10-06</t>
        </is>
      </c>
      <c r="C76" t="inlineStr">
        <is>
          <t>Liên tỉnh</t>
        </is>
      </c>
      <c r="D76" t="inlineStr">
        <is>
          <t>Hỏa tốc</t>
        </is>
      </c>
      <c r="E76" t="n">
        <v>6.3</v>
      </c>
      <c r="F76" s="2">
        <f>IFERROR(VLOOKUP(C76&amp;"|"&amp;D76,Bang_gia!$A$2:$B$10,2,FALSE),"Không tìm thấy mã/khu vực/dịch vụ")</f>
        <v/>
      </c>
      <c r="G76" t="inlineStr">
        <is>
          <t>Chờ xử lý</t>
        </is>
      </c>
    </row>
    <row r="77">
      <c r="A77" t="inlineStr">
        <is>
          <t>FM000076</t>
        </is>
      </c>
      <c r="B77" t="inlineStr">
        <is>
          <t>2026-10-16</t>
        </is>
      </c>
      <c r="C77" t="inlineStr">
        <is>
          <t>Nội thành</t>
        </is>
      </c>
      <c r="D77" t="inlineStr">
        <is>
          <t>Nhanh</t>
        </is>
      </c>
      <c r="E77" t="n">
        <v>12.8</v>
      </c>
      <c r="F77" s="2">
        <f>IFERROR(VLOOKUP(C77&amp;"|"&amp;D77,Bang_gia!$A$2:$B$10,2,FALSE),"Không tìm thấy mã/khu vực/dịch vụ")</f>
        <v/>
      </c>
      <c r="G77" t="inlineStr">
        <is>
          <t>Đã giao</t>
        </is>
      </c>
    </row>
    <row r="78">
      <c r="A78" t="inlineStr">
        <is>
          <t>FM000077</t>
        </is>
      </c>
      <c r="B78" t="inlineStr">
        <is>
          <t>2026-10-17</t>
        </is>
      </c>
      <c r="C78" t="inlineStr">
        <is>
          <t>Nội thành</t>
        </is>
      </c>
      <c r="D78" t="inlineStr">
        <is>
          <t>Hỏa tốc</t>
        </is>
      </c>
      <c r="E78" t="n">
        <v>7.9</v>
      </c>
      <c r="F78" s="2">
        <f>IFERROR(VLOOKUP(C78&amp;"|"&amp;D78,Bang_gia!$A$2:$B$10,2,FALSE),"Không tìm thấy mã/khu vực/dịch vụ")</f>
        <v/>
      </c>
      <c r="G78" t="inlineStr">
        <is>
          <t>Đang giao</t>
        </is>
      </c>
    </row>
    <row r="79">
      <c r="A79" t="inlineStr">
        <is>
          <t>FM000078</t>
        </is>
      </c>
      <c r="B79" t="inlineStr">
        <is>
          <t>2026-10-16</t>
        </is>
      </c>
      <c r="C79" t="inlineStr">
        <is>
          <t>Ngoại thành</t>
        </is>
      </c>
      <c r="D79" t="inlineStr">
        <is>
          <t>Hỏa tốc</t>
        </is>
      </c>
      <c r="E79" t="n">
        <v>2.7</v>
      </c>
      <c r="F79" s="2">
        <f>IFERROR(VLOOKUP(C79&amp;"|"&amp;D79,Bang_gia!$A$2:$B$10,2,FALSE),"Không tìm thấy mã/khu vực/dịch vụ")</f>
        <v/>
      </c>
      <c r="G79" t="inlineStr">
        <is>
          <t>Chờ xử lý</t>
        </is>
      </c>
    </row>
    <row r="80">
      <c r="A80" t="inlineStr">
        <is>
          <t>FM000079</t>
        </is>
      </c>
      <c r="B80" t="inlineStr">
        <is>
          <t>2026-10-12</t>
        </is>
      </c>
      <c r="C80" t="inlineStr">
        <is>
          <t>Nội thành</t>
        </is>
      </c>
      <c r="D80" t="inlineStr">
        <is>
          <t>Tiêu chuẩn</t>
        </is>
      </c>
      <c r="E80" t="n">
        <v>10.2</v>
      </c>
      <c r="F80" s="2">
        <f>IFERROR(VLOOKUP(C80&amp;"|"&amp;D80,Bang_gia!$A$2:$B$10,2,FALSE),"Không tìm thấy mã/khu vực/dịch vụ")</f>
        <v/>
      </c>
      <c r="G80" t="inlineStr">
        <is>
          <t>Đã giao</t>
        </is>
      </c>
    </row>
    <row r="81">
      <c r="A81" t="inlineStr">
        <is>
          <t>FM000080</t>
        </is>
      </c>
      <c r="B81" t="inlineStr">
        <is>
          <t>2026-10-23</t>
        </is>
      </c>
      <c r="C81" t="inlineStr">
        <is>
          <t>Ngoại thành</t>
        </is>
      </c>
      <c r="D81" t="inlineStr">
        <is>
          <t>Nhanh</t>
        </is>
      </c>
      <c r="E81" t="n">
        <v>0.7</v>
      </c>
      <c r="F81" s="2">
        <f>IFERROR(VLOOKUP(C81&amp;"|"&amp;D81,Bang_gia!$A$2:$B$10,2,FALSE),"Không tìm thấy mã/khu vực/dịch vụ")</f>
        <v/>
      </c>
      <c r="G81" t="inlineStr">
        <is>
          <t>Đang giao</t>
        </is>
      </c>
    </row>
    <row r="82">
      <c r="A82" t="inlineStr">
        <is>
          <t>FM000081</t>
        </is>
      </c>
      <c r="B82" t="inlineStr">
        <is>
          <t>2026-10-03</t>
        </is>
      </c>
      <c r="C82" t="inlineStr">
        <is>
          <t>Liên tỉnh</t>
        </is>
      </c>
      <c r="D82" t="inlineStr">
        <is>
          <t>Tiêu chuẩn</t>
        </is>
      </c>
      <c r="E82" t="n">
        <v>16.6</v>
      </c>
      <c r="F82" s="2">
        <f>IFERROR(VLOOKUP(C82&amp;"|"&amp;D82,Bang_gia!$A$2:$B$10,2,FALSE),"Không tìm thấy mã/khu vực/dịch vụ")</f>
        <v/>
      </c>
      <c r="G82" t="inlineStr">
        <is>
          <t>Chờ xử lý</t>
        </is>
      </c>
    </row>
    <row r="83">
      <c r="A83" t="inlineStr">
        <is>
          <t>FM000082</t>
        </is>
      </c>
      <c r="B83" t="inlineStr">
        <is>
          <t>2026-10-25</t>
        </is>
      </c>
      <c r="C83" t="inlineStr">
        <is>
          <t>Liên tỉnh</t>
        </is>
      </c>
      <c r="D83" t="inlineStr">
        <is>
          <t>Tiêu chuẩn</t>
        </is>
      </c>
      <c r="E83" t="n">
        <v>19.3</v>
      </c>
      <c r="F83" s="2">
        <f>IFERROR(VLOOKUP(C83&amp;"|"&amp;D83,Bang_gia!$A$2:$B$10,2,FALSE),"Không tìm thấy mã/khu vực/dịch vụ")</f>
        <v/>
      </c>
      <c r="G83" t="inlineStr">
        <is>
          <t>Chờ xử lý</t>
        </is>
      </c>
    </row>
    <row r="84">
      <c r="A84" t="inlineStr">
        <is>
          <t>FM000083</t>
        </is>
      </c>
      <c r="B84" t="inlineStr">
        <is>
          <t>2026-10-19</t>
        </is>
      </c>
      <c r="C84" t="inlineStr">
        <is>
          <t>Liên tỉnh</t>
        </is>
      </c>
      <c r="D84" t="inlineStr">
        <is>
          <t>Hỏa tốc</t>
        </is>
      </c>
      <c r="E84" t="n">
        <v>19.3</v>
      </c>
      <c r="F84" s="2">
        <f>IFERROR(VLOOKUP(C84&amp;"|"&amp;D84,Bang_gia!$A$2:$B$10,2,FALSE),"Không tìm thấy mã/khu vực/dịch vụ")</f>
        <v/>
      </c>
      <c r="G84" t="inlineStr">
        <is>
          <t>Mới tạo</t>
        </is>
      </c>
    </row>
    <row r="85">
      <c r="A85" t="inlineStr">
        <is>
          <t>FM000084</t>
        </is>
      </c>
      <c r="B85" t="inlineStr">
        <is>
          <t>2026-10-02</t>
        </is>
      </c>
      <c r="C85" t="inlineStr">
        <is>
          <t>Ngoại thành</t>
        </is>
      </c>
      <c r="D85" t="inlineStr">
        <is>
          <t>Hỏa tốc</t>
        </is>
      </c>
      <c r="E85" t="n">
        <v>19.8</v>
      </c>
      <c r="F85" s="2">
        <f>IFERROR(VLOOKUP(C85&amp;"|"&amp;D85,Bang_gia!$A$2:$B$10,2,FALSE),"Không tìm thấy mã/khu vực/dịch vụ")</f>
        <v/>
      </c>
      <c r="G85" t="inlineStr">
        <is>
          <t>Đã giao</t>
        </is>
      </c>
    </row>
    <row r="86">
      <c r="A86" t="inlineStr">
        <is>
          <t>FM000085</t>
        </is>
      </c>
      <c r="B86" t="inlineStr">
        <is>
          <t>2026-10-11</t>
        </is>
      </c>
      <c r="C86" t="inlineStr">
        <is>
          <t>Ngoại thành</t>
        </is>
      </c>
      <c r="D86" t="inlineStr">
        <is>
          <t>Tiêu chuẩn</t>
        </is>
      </c>
      <c r="E86" t="n">
        <v>13.1</v>
      </c>
      <c r="F86" s="2">
        <f>IFERROR(VLOOKUP(C86&amp;"|"&amp;D86,Bang_gia!$A$2:$B$10,2,FALSE),"Không tìm thấy mã/khu vực/dịch vụ")</f>
        <v/>
      </c>
      <c r="G86" t="inlineStr">
        <is>
          <t>Chờ xử lý</t>
        </is>
      </c>
    </row>
    <row r="87">
      <c r="A87" t="inlineStr">
        <is>
          <t>FM000086</t>
        </is>
      </c>
      <c r="B87" t="inlineStr">
        <is>
          <t>2026-10-08</t>
        </is>
      </c>
      <c r="C87" t="inlineStr">
        <is>
          <t>Nội thành</t>
        </is>
      </c>
      <c r="D87" t="inlineStr">
        <is>
          <t>Hỏa tốc</t>
        </is>
      </c>
      <c r="E87" t="n">
        <v>9.6</v>
      </c>
      <c r="F87" s="2">
        <f>IFERROR(VLOOKUP(C87&amp;"|"&amp;D87,Bang_gia!$A$2:$B$10,2,FALSE),"Không tìm thấy mã/khu vực/dịch vụ")</f>
        <v/>
      </c>
      <c r="G87" t="inlineStr">
        <is>
          <t>Đã giao</t>
        </is>
      </c>
    </row>
    <row r="88">
      <c r="A88" t="inlineStr">
        <is>
          <t>FM000087</t>
        </is>
      </c>
      <c r="B88" t="inlineStr">
        <is>
          <t>2026-10-12</t>
        </is>
      </c>
      <c r="C88" t="inlineStr">
        <is>
          <t>Ngoại thành</t>
        </is>
      </c>
      <c r="D88" t="inlineStr">
        <is>
          <t>Nhanh</t>
        </is>
      </c>
      <c r="E88" t="n">
        <v>14.9</v>
      </c>
      <c r="F88" s="2">
        <f>IFERROR(VLOOKUP(C88&amp;"|"&amp;D88,Bang_gia!$A$2:$B$10,2,FALSE),"Không tìm thấy mã/khu vực/dịch vụ")</f>
        <v/>
      </c>
      <c r="G88" t="inlineStr">
        <is>
          <t>Mới tạo</t>
        </is>
      </c>
    </row>
    <row r="89">
      <c r="A89" t="inlineStr">
        <is>
          <t>FM000088</t>
        </is>
      </c>
      <c r="B89" t="inlineStr">
        <is>
          <t>2026-10-23</t>
        </is>
      </c>
      <c r="C89" t="inlineStr">
        <is>
          <t>Liên tỉnh</t>
        </is>
      </c>
      <c r="D89" t="inlineStr">
        <is>
          <t>Tiêu chuẩn</t>
        </is>
      </c>
      <c r="E89" t="n">
        <v>13.3</v>
      </c>
      <c r="F89" s="2">
        <f>IFERROR(VLOOKUP(C89&amp;"|"&amp;D89,Bang_gia!$A$2:$B$10,2,FALSE),"Không tìm thấy mã/khu vực/dịch vụ")</f>
        <v/>
      </c>
      <c r="G89" t="inlineStr">
        <is>
          <t>Đã giao</t>
        </is>
      </c>
    </row>
    <row r="90">
      <c r="A90" t="inlineStr">
        <is>
          <t>FM000089</t>
        </is>
      </c>
      <c r="B90" t="inlineStr">
        <is>
          <t>2026-10-08</t>
        </is>
      </c>
      <c r="C90" t="inlineStr">
        <is>
          <t>Nội thành</t>
        </is>
      </c>
      <c r="D90" t="inlineStr">
        <is>
          <t>Tiêu chuẩn</t>
        </is>
      </c>
      <c r="E90" t="n">
        <v>10.3</v>
      </c>
      <c r="F90" s="2">
        <f>IFERROR(VLOOKUP(C90&amp;"|"&amp;D90,Bang_gia!$A$2:$B$10,2,FALSE),"Không tìm thấy mã/khu vực/dịch vụ")</f>
        <v/>
      </c>
      <c r="G90" t="inlineStr">
        <is>
          <t>Chờ xử lý</t>
        </is>
      </c>
    </row>
    <row r="91">
      <c r="A91" t="inlineStr">
        <is>
          <t>FM000090</t>
        </is>
      </c>
      <c r="B91" t="inlineStr">
        <is>
          <t>2026-10-18</t>
        </is>
      </c>
      <c r="C91" t="inlineStr">
        <is>
          <t>Ngoại thành</t>
        </is>
      </c>
      <c r="D91" t="inlineStr">
        <is>
          <t>Nhanh</t>
        </is>
      </c>
      <c r="E91" t="n">
        <v>3.6</v>
      </c>
      <c r="F91" s="2">
        <f>IFERROR(VLOOKUP(C91&amp;"|"&amp;D91,Bang_gia!$A$2:$B$10,2,FALSE),"Không tìm thấy mã/khu vực/dịch vụ")</f>
        <v/>
      </c>
      <c r="G91" t="inlineStr">
        <is>
          <t>Đang giao</t>
        </is>
      </c>
    </row>
    <row r="92">
      <c r="A92" t="inlineStr">
        <is>
          <t>FM000091</t>
        </is>
      </c>
      <c r="B92" t="inlineStr">
        <is>
          <t>2026-10-26</t>
        </is>
      </c>
      <c r="C92" t="inlineStr">
        <is>
          <t>Liên tỉnh</t>
        </is>
      </c>
      <c r="D92" t="inlineStr">
        <is>
          <t>Nhanh</t>
        </is>
      </c>
      <c r="E92" t="n">
        <v>0.7</v>
      </c>
      <c r="F92" s="2">
        <f>IFERROR(VLOOKUP(C92&amp;"|"&amp;D92,Bang_gia!$A$2:$B$10,2,FALSE),"Không tìm thấy mã/khu vực/dịch vụ")</f>
        <v/>
      </c>
      <c r="G92" t="inlineStr">
        <is>
          <t>Chờ xử lý</t>
        </is>
      </c>
    </row>
    <row r="93">
      <c r="A93" t="inlineStr">
        <is>
          <t>FM000092</t>
        </is>
      </c>
      <c r="B93" t="inlineStr">
        <is>
          <t>2026-10-19</t>
        </is>
      </c>
      <c r="C93" t="inlineStr">
        <is>
          <t>Liên tỉnh</t>
        </is>
      </c>
      <c r="D93" t="inlineStr">
        <is>
          <t>Nhanh</t>
        </is>
      </c>
      <c r="E93" t="n">
        <v>13.8</v>
      </c>
      <c r="F93" s="2">
        <f>IFERROR(VLOOKUP(C93&amp;"|"&amp;D93,Bang_gia!$A$2:$B$10,2,FALSE),"Không tìm thấy mã/khu vực/dịch vụ")</f>
        <v/>
      </c>
      <c r="G93" t="inlineStr">
        <is>
          <t>Chờ xử lý</t>
        </is>
      </c>
    </row>
    <row r="94">
      <c r="A94" t="inlineStr">
        <is>
          <t>FM000093</t>
        </is>
      </c>
      <c r="B94" t="inlineStr">
        <is>
          <t>2026-10-13</t>
        </is>
      </c>
      <c r="C94" t="inlineStr">
        <is>
          <t>Ngoại thành</t>
        </is>
      </c>
      <c r="D94" t="inlineStr">
        <is>
          <t>Nhanh</t>
        </is>
      </c>
      <c r="E94" t="n">
        <v>17.2</v>
      </c>
      <c r="F94" s="2">
        <f>IFERROR(VLOOKUP(C94&amp;"|"&amp;D94,Bang_gia!$A$2:$B$10,2,FALSE),"Không tìm thấy mã/khu vực/dịch vụ")</f>
        <v/>
      </c>
      <c r="G94" t="inlineStr">
        <is>
          <t>Chờ xử lý</t>
        </is>
      </c>
    </row>
    <row r="95">
      <c r="A95" t="inlineStr">
        <is>
          <t>FM000094</t>
        </is>
      </c>
      <c r="B95" t="inlineStr">
        <is>
          <t>2026-10-03</t>
        </is>
      </c>
      <c r="C95" t="inlineStr">
        <is>
          <t>Liên tỉnh</t>
        </is>
      </c>
      <c r="D95" t="inlineStr">
        <is>
          <t>Hỏa tốc</t>
        </is>
      </c>
      <c r="E95" t="n">
        <v>10.1</v>
      </c>
      <c r="F95" s="2">
        <f>IFERROR(VLOOKUP(C95&amp;"|"&amp;D95,Bang_gia!$A$2:$B$10,2,FALSE),"Không tìm thấy mã/khu vực/dịch vụ")</f>
        <v/>
      </c>
      <c r="G95" t="inlineStr">
        <is>
          <t>Chờ xử lý</t>
        </is>
      </c>
    </row>
    <row r="96">
      <c r="A96" t="inlineStr">
        <is>
          <t>FM000095</t>
        </is>
      </c>
      <c r="B96" t="inlineStr">
        <is>
          <t>2026-10-19</t>
        </is>
      </c>
      <c r="C96" t="inlineStr">
        <is>
          <t>Ngoại thành</t>
        </is>
      </c>
      <c r="D96" t="inlineStr">
        <is>
          <t>Tiêu chuẩn</t>
        </is>
      </c>
      <c r="E96" t="n">
        <v>19.4</v>
      </c>
      <c r="F96" s="2">
        <f>IFERROR(VLOOKUP(C96&amp;"|"&amp;D96,Bang_gia!$A$2:$B$10,2,FALSE),"Không tìm thấy mã/khu vực/dịch vụ")</f>
        <v/>
      </c>
      <c r="G96" t="inlineStr">
        <is>
          <t>Mới tạo</t>
        </is>
      </c>
    </row>
    <row r="97">
      <c r="A97" t="inlineStr">
        <is>
          <t>FM000096</t>
        </is>
      </c>
      <c r="B97" t="inlineStr">
        <is>
          <t>2026-10-20</t>
        </is>
      </c>
      <c r="C97" t="inlineStr">
        <is>
          <t>Ngoại thành</t>
        </is>
      </c>
      <c r="D97" t="inlineStr">
        <is>
          <t>Hỏa tốc</t>
        </is>
      </c>
      <c r="E97" t="n">
        <v>13.4</v>
      </c>
      <c r="F97" s="2">
        <f>IFERROR(VLOOKUP(C97&amp;"|"&amp;D97,Bang_gia!$A$2:$B$10,2,FALSE),"Không tìm thấy mã/khu vực/dịch vụ")</f>
        <v/>
      </c>
      <c r="G97" t="inlineStr">
        <is>
          <t>Đã giao</t>
        </is>
      </c>
    </row>
    <row r="98">
      <c r="A98" t="inlineStr">
        <is>
          <t>FM000097</t>
        </is>
      </c>
      <c r="B98" t="inlineStr">
        <is>
          <t>2026-10-13</t>
        </is>
      </c>
      <c r="C98" t="inlineStr">
        <is>
          <t>Ngoại thành</t>
        </is>
      </c>
      <c r="D98" t="inlineStr">
        <is>
          <t>Hỏa tốc</t>
        </is>
      </c>
      <c r="E98" t="n">
        <v>4.2</v>
      </c>
      <c r="F98" s="2">
        <f>IFERROR(VLOOKUP(C98&amp;"|"&amp;D98,Bang_gia!$A$2:$B$10,2,FALSE),"Không tìm thấy mã/khu vực/dịch vụ")</f>
        <v/>
      </c>
      <c r="G98" t="inlineStr">
        <is>
          <t>Đang giao</t>
        </is>
      </c>
    </row>
    <row r="99">
      <c r="A99" t="inlineStr">
        <is>
          <t>FM000098</t>
        </is>
      </c>
      <c r="B99" t="inlineStr">
        <is>
          <t>2026-10-02</t>
        </is>
      </c>
      <c r="C99" t="inlineStr">
        <is>
          <t>Nội thành</t>
        </is>
      </c>
      <c r="D99" t="inlineStr">
        <is>
          <t>Hỏa tốc</t>
        </is>
      </c>
      <c r="E99" t="n">
        <v>2</v>
      </c>
      <c r="F99" s="2">
        <f>IFERROR(VLOOKUP(C99&amp;"|"&amp;D99,Bang_gia!$A$2:$B$10,2,FALSE),"Không tìm thấy mã/khu vực/dịch vụ")</f>
        <v/>
      </c>
      <c r="G99" t="inlineStr">
        <is>
          <t>Đã giao</t>
        </is>
      </c>
    </row>
    <row r="100">
      <c r="A100" t="inlineStr">
        <is>
          <t>FM000099</t>
        </is>
      </c>
      <c r="B100" t="inlineStr">
        <is>
          <t>2026-10-21</t>
        </is>
      </c>
      <c r="C100" t="inlineStr">
        <is>
          <t>Nội thành</t>
        </is>
      </c>
      <c r="D100" t="inlineStr">
        <is>
          <t>Tiêu chuẩn</t>
        </is>
      </c>
      <c r="E100" t="n">
        <v>8.1</v>
      </c>
      <c r="F100" s="2">
        <f>IFERROR(VLOOKUP(C100&amp;"|"&amp;D100,Bang_gia!$A$2:$B$10,2,FALSE),"Không tìm thấy mã/khu vực/dịch vụ")</f>
        <v/>
      </c>
      <c r="G100" t="inlineStr">
        <is>
          <t>Đang giao</t>
        </is>
      </c>
    </row>
    <row r="101">
      <c r="A101" t="inlineStr">
        <is>
          <t>FM000100</t>
        </is>
      </c>
      <c r="B101" t="inlineStr">
        <is>
          <t>2026-10-02</t>
        </is>
      </c>
      <c r="C101" t="inlineStr">
        <is>
          <t>Nội thành</t>
        </is>
      </c>
      <c r="D101" t="inlineStr">
        <is>
          <t>Tiêu chuẩn</t>
        </is>
      </c>
      <c r="E101" t="n">
        <v>9</v>
      </c>
      <c r="F101" s="2">
        <f>IFERROR(VLOOKUP(C101&amp;"|"&amp;D101,Bang_gia!$A$2:$B$10,2,FALSE),"Không tìm thấy mã/khu vực/dịch vụ")</f>
        <v/>
      </c>
      <c r="G101" t="inlineStr">
        <is>
          <t>Đang giao</t>
        </is>
      </c>
    </row>
    <row r="102">
      <c r="A102" t="inlineStr">
        <is>
          <t>FM000101</t>
        </is>
      </c>
      <c r="B102" t="inlineStr">
        <is>
          <t>2026-10-01</t>
        </is>
      </c>
      <c r="C102" t="inlineStr">
        <is>
          <t>Ngoại thành</t>
        </is>
      </c>
      <c r="D102" t="inlineStr">
        <is>
          <t>Nhanh</t>
        </is>
      </c>
      <c r="E102" t="n">
        <v>19.5</v>
      </c>
      <c r="F102" s="2">
        <f>IFERROR(VLOOKUP(C102&amp;"|"&amp;D102,Bang_gia!$A$2:$B$10,2,FALSE),"Không tìm thấy mã/khu vực/dịch vụ")</f>
        <v/>
      </c>
      <c r="G102" t="inlineStr">
        <is>
          <t>Mới tạo</t>
        </is>
      </c>
    </row>
    <row r="103">
      <c r="A103" t="inlineStr">
        <is>
          <t>FM000102</t>
        </is>
      </c>
      <c r="B103" t="inlineStr">
        <is>
          <t>2026-10-19</t>
        </is>
      </c>
      <c r="C103" t="inlineStr">
        <is>
          <t>Liên tỉnh</t>
        </is>
      </c>
      <c r="D103" t="inlineStr">
        <is>
          <t>Tiêu chuẩn</t>
        </is>
      </c>
      <c r="E103" t="n">
        <v>6.2</v>
      </c>
      <c r="F103" s="2">
        <f>IFERROR(VLOOKUP(C103&amp;"|"&amp;D103,Bang_gia!$A$2:$B$10,2,FALSE),"Không tìm thấy mã/khu vực/dịch vụ")</f>
        <v/>
      </c>
      <c r="G103" t="inlineStr">
        <is>
          <t>Đã giao</t>
        </is>
      </c>
    </row>
    <row r="104">
      <c r="A104" t="inlineStr">
        <is>
          <t>FM000103</t>
        </is>
      </c>
      <c r="B104" t="inlineStr">
        <is>
          <t>2026-10-07</t>
        </is>
      </c>
      <c r="C104" t="inlineStr">
        <is>
          <t>Nội thành</t>
        </is>
      </c>
      <c r="D104" t="inlineStr">
        <is>
          <t>Tiêu chuẩn</t>
        </is>
      </c>
      <c r="E104" t="n">
        <v>6.7</v>
      </c>
      <c r="F104" s="2">
        <f>IFERROR(VLOOKUP(C104&amp;"|"&amp;D104,Bang_gia!$A$2:$B$10,2,FALSE),"Không tìm thấy mã/khu vực/dịch vụ")</f>
        <v/>
      </c>
      <c r="G104" t="inlineStr">
        <is>
          <t>Mới tạo</t>
        </is>
      </c>
    </row>
    <row r="105">
      <c r="A105" t="inlineStr">
        <is>
          <t>FM000104</t>
        </is>
      </c>
      <c r="B105" t="inlineStr">
        <is>
          <t>2026-10-01</t>
        </is>
      </c>
      <c r="C105" t="inlineStr">
        <is>
          <t>Ngoại thành</t>
        </is>
      </c>
      <c r="D105" t="inlineStr">
        <is>
          <t>Tiêu chuẩn</t>
        </is>
      </c>
      <c r="E105" t="n">
        <v>17.4</v>
      </c>
      <c r="F105" s="2">
        <f>IFERROR(VLOOKUP(C105&amp;"|"&amp;D105,Bang_gia!$A$2:$B$10,2,FALSE),"Không tìm thấy mã/khu vực/dịch vụ")</f>
        <v/>
      </c>
      <c r="G105" t="inlineStr">
        <is>
          <t>Mới tạo</t>
        </is>
      </c>
    </row>
    <row r="106">
      <c r="A106" t="inlineStr">
        <is>
          <t>FM000105</t>
        </is>
      </c>
      <c r="B106" t="inlineStr">
        <is>
          <t>2026-10-07</t>
        </is>
      </c>
      <c r="C106" t="inlineStr">
        <is>
          <t>Liên tỉnh</t>
        </is>
      </c>
      <c r="D106" t="inlineStr">
        <is>
          <t>Hỏa tốc</t>
        </is>
      </c>
      <c r="E106" t="n">
        <v>9.699999999999999</v>
      </c>
      <c r="F106" s="2">
        <f>IFERROR(VLOOKUP(C106&amp;"|"&amp;D106,Bang_gia!$A$2:$B$10,2,FALSE),"Không tìm thấy mã/khu vực/dịch vụ")</f>
        <v/>
      </c>
      <c r="G106" t="inlineStr">
        <is>
          <t>Chờ xử lý</t>
        </is>
      </c>
    </row>
    <row r="107">
      <c r="A107" t="inlineStr">
        <is>
          <t>FM000106</t>
        </is>
      </c>
      <c r="B107" t="inlineStr">
        <is>
          <t>2026-10-17</t>
        </is>
      </c>
      <c r="C107" t="inlineStr">
        <is>
          <t>Nội thành</t>
        </is>
      </c>
      <c r="D107" t="inlineStr">
        <is>
          <t>Nhanh</t>
        </is>
      </c>
      <c r="E107" t="n">
        <v>3.1</v>
      </c>
      <c r="F107" s="2">
        <f>IFERROR(VLOOKUP(C107&amp;"|"&amp;D107,Bang_gia!$A$2:$B$10,2,FALSE),"Không tìm thấy mã/khu vực/dịch vụ")</f>
        <v/>
      </c>
      <c r="G107" t="inlineStr">
        <is>
          <t>Đang giao</t>
        </is>
      </c>
    </row>
    <row r="108">
      <c r="A108" t="inlineStr">
        <is>
          <t>FM000107</t>
        </is>
      </c>
      <c r="B108" t="inlineStr">
        <is>
          <t>2026-10-25</t>
        </is>
      </c>
      <c r="C108" t="inlineStr">
        <is>
          <t>Liên tỉnh</t>
        </is>
      </c>
      <c r="D108" t="inlineStr">
        <is>
          <t>Hỏa tốc</t>
        </is>
      </c>
      <c r="E108" t="n">
        <v>19</v>
      </c>
      <c r="F108" s="2">
        <f>IFERROR(VLOOKUP(C108&amp;"|"&amp;D108,Bang_gia!$A$2:$B$10,2,FALSE),"Không tìm thấy mã/khu vực/dịch vụ")</f>
        <v/>
      </c>
      <c r="G108" t="inlineStr">
        <is>
          <t>Đã giao</t>
        </is>
      </c>
    </row>
    <row r="109">
      <c r="A109" t="inlineStr">
        <is>
          <t>FM000108</t>
        </is>
      </c>
      <c r="B109" t="inlineStr">
        <is>
          <t>2026-10-22</t>
        </is>
      </c>
      <c r="C109" t="inlineStr">
        <is>
          <t>Liên tỉnh</t>
        </is>
      </c>
      <c r="D109" t="inlineStr">
        <is>
          <t>Nhanh</t>
        </is>
      </c>
      <c r="E109" t="n">
        <v>1.2</v>
      </c>
      <c r="F109" s="2">
        <f>IFERROR(VLOOKUP(C109&amp;"|"&amp;D109,Bang_gia!$A$2:$B$10,2,FALSE),"Không tìm thấy mã/khu vực/dịch vụ")</f>
        <v/>
      </c>
      <c r="G109" t="inlineStr">
        <is>
          <t>Chờ xử lý</t>
        </is>
      </c>
    </row>
    <row r="110">
      <c r="A110" t="inlineStr">
        <is>
          <t>FM000109</t>
        </is>
      </c>
      <c r="B110" t="inlineStr">
        <is>
          <t>2026-10-07</t>
        </is>
      </c>
      <c r="C110" t="inlineStr">
        <is>
          <t>Liên tỉnh</t>
        </is>
      </c>
      <c r="D110" t="inlineStr">
        <is>
          <t>Hỏa tốc</t>
        </is>
      </c>
      <c r="E110" t="n">
        <v>19.8</v>
      </c>
      <c r="F110" s="2">
        <f>IFERROR(VLOOKUP(C110&amp;"|"&amp;D110,Bang_gia!$A$2:$B$10,2,FALSE),"Không tìm thấy mã/khu vực/dịch vụ")</f>
        <v/>
      </c>
      <c r="G110" t="inlineStr">
        <is>
          <t>Đã giao</t>
        </is>
      </c>
    </row>
    <row r="111">
      <c r="A111" t="inlineStr">
        <is>
          <t>FM000110</t>
        </is>
      </c>
      <c r="B111" t="inlineStr">
        <is>
          <t>2026-10-11</t>
        </is>
      </c>
      <c r="C111" t="inlineStr">
        <is>
          <t>Nội thành</t>
        </is>
      </c>
      <c r="D111" t="inlineStr">
        <is>
          <t>Nhanh</t>
        </is>
      </c>
      <c r="E111" t="n">
        <v>14</v>
      </c>
      <c r="F111" s="2">
        <f>IFERROR(VLOOKUP(C111&amp;"|"&amp;D111,Bang_gia!$A$2:$B$10,2,FALSE),"Không tìm thấy mã/khu vực/dịch vụ")</f>
        <v/>
      </c>
      <c r="G111" t="inlineStr">
        <is>
          <t>Đang giao</t>
        </is>
      </c>
    </row>
    <row r="112">
      <c r="A112" t="inlineStr">
        <is>
          <t>FM000111</t>
        </is>
      </c>
      <c r="B112" t="inlineStr">
        <is>
          <t>2026-10-23</t>
        </is>
      </c>
      <c r="C112" t="inlineStr">
        <is>
          <t>Nội thành</t>
        </is>
      </c>
      <c r="D112" t="inlineStr">
        <is>
          <t>Nhanh</t>
        </is>
      </c>
      <c r="E112" t="n">
        <v>6.3</v>
      </c>
      <c r="F112" s="2">
        <f>IFERROR(VLOOKUP(C112&amp;"|"&amp;D112,Bang_gia!$A$2:$B$10,2,FALSE),"Không tìm thấy mã/khu vực/dịch vụ")</f>
        <v/>
      </c>
      <c r="G112" t="inlineStr">
        <is>
          <t>Đã giao</t>
        </is>
      </c>
    </row>
    <row r="113">
      <c r="A113" t="inlineStr">
        <is>
          <t>FM000112</t>
        </is>
      </c>
      <c r="B113" t="inlineStr">
        <is>
          <t>2026-10-20</t>
        </is>
      </c>
      <c r="C113" t="inlineStr">
        <is>
          <t>Liên tỉnh</t>
        </is>
      </c>
      <c r="D113" t="inlineStr">
        <is>
          <t>Nhanh</t>
        </is>
      </c>
      <c r="E113" t="n">
        <v>0.6</v>
      </c>
      <c r="F113" s="2">
        <f>IFERROR(VLOOKUP(C113&amp;"|"&amp;D113,Bang_gia!$A$2:$B$10,2,FALSE),"Không tìm thấy mã/khu vực/dịch vụ")</f>
        <v/>
      </c>
      <c r="G113" t="inlineStr">
        <is>
          <t>Đang giao</t>
        </is>
      </c>
    </row>
    <row r="114">
      <c r="A114" t="inlineStr">
        <is>
          <t>FM000113</t>
        </is>
      </c>
      <c r="B114" t="inlineStr">
        <is>
          <t>2026-10-23</t>
        </is>
      </c>
      <c r="C114" t="inlineStr">
        <is>
          <t>Liên tỉnh</t>
        </is>
      </c>
      <c r="D114" t="inlineStr">
        <is>
          <t>Hỏa tốc</t>
        </is>
      </c>
      <c r="E114" t="n">
        <v>14.1</v>
      </c>
      <c r="F114" s="2">
        <f>IFERROR(VLOOKUP(C114&amp;"|"&amp;D114,Bang_gia!$A$2:$B$10,2,FALSE),"Không tìm thấy mã/khu vực/dịch vụ")</f>
        <v/>
      </c>
      <c r="G114" t="inlineStr">
        <is>
          <t>Đang giao</t>
        </is>
      </c>
    </row>
    <row r="115">
      <c r="A115" t="inlineStr">
        <is>
          <t>FM000114</t>
        </is>
      </c>
      <c r="B115" t="inlineStr">
        <is>
          <t>2026-10-25</t>
        </is>
      </c>
      <c r="C115" t="inlineStr">
        <is>
          <t>Nội thành</t>
        </is>
      </c>
      <c r="D115" t="inlineStr">
        <is>
          <t>Hỏa tốc</t>
        </is>
      </c>
      <c r="E115" t="n">
        <v>19.8</v>
      </c>
      <c r="F115" s="2">
        <f>IFERROR(VLOOKUP(C115&amp;"|"&amp;D115,Bang_gia!$A$2:$B$10,2,FALSE),"Không tìm thấy mã/khu vực/dịch vụ")</f>
        <v/>
      </c>
      <c r="G115" t="inlineStr">
        <is>
          <t>Đang giao</t>
        </is>
      </c>
    </row>
    <row r="116">
      <c r="A116" t="inlineStr">
        <is>
          <t>FM000115</t>
        </is>
      </c>
      <c r="B116" t="inlineStr">
        <is>
          <t>2026-10-08</t>
        </is>
      </c>
      <c r="C116" t="inlineStr">
        <is>
          <t>Liên tỉnh</t>
        </is>
      </c>
      <c r="D116" t="inlineStr">
        <is>
          <t>Nhanh</t>
        </is>
      </c>
      <c r="E116" t="n">
        <v>13.1</v>
      </c>
      <c r="F116" s="2">
        <f>IFERROR(VLOOKUP(C116&amp;"|"&amp;D116,Bang_gia!$A$2:$B$10,2,FALSE),"Không tìm thấy mã/khu vực/dịch vụ")</f>
        <v/>
      </c>
      <c r="G116" t="inlineStr">
        <is>
          <t>Mới tạo</t>
        </is>
      </c>
    </row>
    <row r="117">
      <c r="A117" t="inlineStr">
        <is>
          <t>FM000116</t>
        </is>
      </c>
      <c r="B117" t="inlineStr">
        <is>
          <t>2026-10-17</t>
        </is>
      </c>
      <c r="C117" t="inlineStr">
        <is>
          <t>Ngoại thành</t>
        </is>
      </c>
      <c r="D117" t="inlineStr">
        <is>
          <t>Nhanh</t>
        </is>
      </c>
      <c r="E117" t="n">
        <v>16.5</v>
      </c>
      <c r="F117" s="2">
        <f>IFERROR(VLOOKUP(C117&amp;"|"&amp;D117,Bang_gia!$A$2:$B$10,2,FALSE),"Không tìm thấy mã/khu vực/dịch vụ")</f>
        <v/>
      </c>
      <c r="G117" t="inlineStr">
        <is>
          <t>Chờ xử lý</t>
        </is>
      </c>
    </row>
    <row r="118">
      <c r="A118" t="inlineStr">
        <is>
          <t>FM000117</t>
        </is>
      </c>
      <c r="B118" t="inlineStr">
        <is>
          <t>2026-10-12</t>
        </is>
      </c>
      <c r="C118" t="inlineStr">
        <is>
          <t>Ngoại thành</t>
        </is>
      </c>
      <c r="D118" t="inlineStr">
        <is>
          <t>Hỏa tốc</t>
        </is>
      </c>
      <c r="E118" t="n">
        <v>12.4</v>
      </c>
      <c r="F118" s="2">
        <f>IFERROR(VLOOKUP(C118&amp;"|"&amp;D118,Bang_gia!$A$2:$B$10,2,FALSE),"Không tìm thấy mã/khu vực/dịch vụ")</f>
        <v/>
      </c>
      <c r="G118" t="inlineStr">
        <is>
          <t>Đang giao</t>
        </is>
      </c>
    </row>
    <row r="119">
      <c r="A119" t="inlineStr">
        <is>
          <t>FM000118</t>
        </is>
      </c>
      <c r="B119" t="inlineStr">
        <is>
          <t>2026-10-08</t>
        </is>
      </c>
      <c r="C119" t="inlineStr">
        <is>
          <t>Ngoại thành</t>
        </is>
      </c>
      <c r="D119" t="inlineStr">
        <is>
          <t>Tiêu chuẩn</t>
        </is>
      </c>
      <c r="E119" t="n">
        <v>10.5</v>
      </c>
      <c r="F119" s="2">
        <f>IFERROR(VLOOKUP(C119&amp;"|"&amp;D119,Bang_gia!$A$2:$B$10,2,FALSE),"Không tìm thấy mã/khu vực/dịch vụ")</f>
        <v/>
      </c>
      <c r="G119" t="inlineStr">
        <is>
          <t>Đã giao</t>
        </is>
      </c>
    </row>
    <row r="120">
      <c r="A120" t="inlineStr">
        <is>
          <t>FM000119</t>
        </is>
      </c>
      <c r="B120" t="inlineStr">
        <is>
          <t>2026-10-18</t>
        </is>
      </c>
      <c r="C120" t="inlineStr">
        <is>
          <t>Liên tỉnh</t>
        </is>
      </c>
      <c r="D120" t="inlineStr">
        <is>
          <t>Tiêu chuẩn</t>
        </is>
      </c>
      <c r="E120" t="n">
        <v>5</v>
      </c>
      <c r="F120" s="2">
        <f>IFERROR(VLOOKUP(C120&amp;"|"&amp;D120,Bang_gia!$A$2:$B$10,2,FALSE),"Không tìm thấy mã/khu vực/dịch vụ")</f>
        <v/>
      </c>
      <c r="G120" t="inlineStr">
        <is>
          <t>Đang giao</t>
        </is>
      </c>
    </row>
    <row r="121">
      <c r="A121" t="inlineStr">
        <is>
          <t>FM000120</t>
        </is>
      </c>
      <c r="B121" t="inlineStr">
        <is>
          <t>2026-10-22</t>
        </is>
      </c>
      <c r="C121" t="inlineStr">
        <is>
          <t>Ngoại thành</t>
        </is>
      </c>
      <c r="D121" t="inlineStr">
        <is>
          <t>Hỏa tốc</t>
        </is>
      </c>
      <c r="E121" t="n">
        <v>12</v>
      </c>
      <c r="F121" s="2">
        <f>IFERROR(VLOOKUP(C121&amp;"|"&amp;D121,Bang_gia!$A$2:$B$10,2,FALSE),"Không tìm thấy mã/khu vực/dịch vụ")</f>
        <v/>
      </c>
      <c r="G121" t="inlineStr">
        <is>
          <t>Đang giao</t>
        </is>
      </c>
    </row>
    <row r="122">
      <c r="A122" t="inlineStr">
        <is>
          <t>FM000121</t>
        </is>
      </c>
      <c r="B122" t="inlineStr">
        <is>
          <t>2026-10-05</t>
        </is>
      </c>
      <c r="C122" t="inlineStr">
        <is>
          <t>Ngoại thành</t>
        </is>
      </c>
      <c r="D122" t="inlineStr">
        <is>
          <t>Hỏa tốc</t>
        </is>
      </c>
      <c r="E122" t="n">
        <v>11.4</v>
      </c>
      <c r="F122" s="2">
        <f>IFERROR(VLOOKUP(C122&amp;"|"&amp;D122,Bang_gia!$A$2:$B$10,2,FALSE),"Không tìm thấy mã/khu vực/dịch vụ")</f>
        <v/>
      </c>
      <c r="G122" t="inlineStr">
        <is>
          <t>Đã giao</t>
        </is>
      </c>
    </row>
    <row r="123">
      <c r="A123" t="inlineStr">
        <is>
          <t>FM000122</t>
        </is>
      </c>
      <c r="B123" t="inlineStr">
        <is>
          <t>2026-10-11</t>
        </is>
      </c>
      <c r="C123" t="inlineStr">
        <is>
          <t>Nội thành</t>
        </is>
      </c>
      <c r="D123" t="inlineStr">
        <is>
          <t>Nhanh</t>
        </is>
      </c>
      <c r="E123" t="n">
        <v>19.9</v>
      </c>
      <c r="F123" s="2">
        <f>IFERROR(VLOOKUP(C123&amp;"|"&amp;D123,Bang_gia!$A$2:$B$10,2,FALSE),"Không tìm thấy mã/khu vực/dịch vụ")</f>
        <v/>
      </c>
      <c r="G123" t="inlineStr">
        <is>
          <t>Đang giao</t>
        </is>
      </c>
    </row>
    <row r="124">
      <c r="A124" t="inlineStr">
        <is>
          <t>FM000123</t>
        </is>
      </c>
      <c r="B124" t="inlineStr">
        <is>
          <t>2026-10-24</t>
        </is>
      </c>
      <c r="C124" t="inlineStr">
        <is>
          <t>Liên tỉnh</t>
        </is>
      </c>
      <c r="D124" t="inlineStr">
        <is>
          <t>Tiêu chuẩn</t>
        </is>
      </c>
      <c r="E124" t="n">
        <v>12</v>
      </c>
      <c r="F124" s="2">
        <f>IFERROR(VLOOKUP(C124&amp;"|"&amp;D124,Bang_gia!$A$2:$B$10,2,FALSE),"Không tìm thấy mã/khu vực/dịch vụ")</f>
        <v/>
      </c>
      <c r="G124" t="inlineStr">
        <is>
          <t>Mới tạo</t>
        </is>
      </c>
    </row>
    <row r="125">
      <c r="A125" t="inlineStr">
        <is>
          <t>FM000124</t>
        </is>
      </c>
      <c r="B125" t="inlineStr">
        <is>
          <t>2026-10-12</t>
        </is>
      </c>
      <c r="C125" t="inlineStr">
        <is>
          <t>Ngoại thành</t>
        </is>
      </c>
      <c r="D125" t="inlineStr">
        <is>
          <t>Nhanh</t>
        </is>
      </c>
      <c r="E125" t="n">
        <v>15.4</v>
      </c>
      <c r="F125" s="2">
        <f>IFERROR(VLOOKUP(C125&amp;"|"&amp;D125,Bang_gia!$A$2:$B$10,2,FALSE),"Không tìm thấy mã/khu vực/dịch vụ")</f>
        <v/>
      </c>
      <c r="G125" t="inlineStr">
        <is>
          <t>Mới tạo</t>
        </is>
      </c>
    </row>
    <row r="126">
      <c r="A126" t="inlineStr">
        <is>
          <t>FM000125</t>
        </is>
      </c>
      <c r="B126" t="inlineStr">
        <is>
          <t>2026-10-22</t>
        </is>
      </c>
      <c r="C126" t="inlineStr">
        <is>
          <t>Nội thành</t>
        </is>
      </c>
      <c r="D126" t="inlineStr">
        <is>
          <t>Nhanh</t>
        </is>
      </c>
      <c r="E126" t="n">
        <v>17.2</v>
      </c>
      <c r="F126" s="2">
        <f>IFERROR(VLOOKUP(C126&amp;"|"&amp;D126,Bang_gia!$A$2:$B$10,2,FALSE),"Không tìm thấy mã/khu vực/dịch vụ")</f>
        <v/>
      </c>
      <c r="G126" t="inlineStr">
        <is>
          <t>Chờ xử lý</t>
        </is>
      </c>
    </row>
    <row r="127">
      <c r="A127" t="inlineStr">
        <is>
          <t>FM000126</t>
        </is>
      </c>
      <c r="B127" t="inlineStr">
        <is>
          <t>2026-10-01</t>
        </is>
      </c>
      <c r="C127" t="inlineStr">
        <is>
          <t>Ngoại thành</t>
        </is>
      </c>
      <c r="D127" t="inlineStr">
        <is>
          <t>Hỏa tốc</t>
        </is>
      </c>
      <c r="E127" t="n">
        <v>9.9</v>
      </c>
      <c r="F127" s="2">
        <f>IFERROR(VLOOKUP(C127&amp;"|"&amp;D127,Bang_gia!$A$2:$B$10,2,FALSE),"Không tìm thấy mã/khu vực/dịch vụ")</f>
        <v/>
      </c>
      <c r="G127" t="inlineStr">
        <is>
          <t>Đang giao</t>
        </is>
      </c>
    </row>
    <row r="128">
      <c r="A128" t="inlineStr">
        <is>
          <t>FM000127</t>
        </is>
      </c>
      <c r="B128" t="inlineStr">
        <is>
          <t>2026-10-23</t>
        </is>
      </c>
      <c r="C128" t="inlineStr">
        <is>
          <t>Nội thành</t>
        </is>
      </c>
      <c r="D128" t="inlineStr">
        <is>
          <t>Tiêu chuẩn</t>
        </is>
      </c>
      <c r="E128" t="n">
        <v>12.2</v>
      </c>
      <c r="F128" s="2">
        <f>IFERROR(VLOOKUP(C128&amp;"|"&amp;D128,Bang_gia!$A$2:$B$10,2,FALSE),"Không tìm thấy mã/khu vực/dịch vụ")</f>
        <v/>
      </c>
      <c r="G128" t="inlineStr">
        <is>
          <t>Đã giao</t>
        </is>
      </c>
    </row>
    <row r="129">
      <c r="A129" t="inlineStr">
        <is>
          <t>FM000128</t>
        </is>
      </c>
      <c r="B129" t="inlineStr">
        <is>
          <t>2026-10-16</t>
        </is>
      </c>
      <c r="C129" t="inlineStr">
        <is>
          <t>Ngoại thành</t>
        </is>
      </c>
      <c r="D129" t="inlineStr">
        <is>
          <t>Hỏa tốc</t>
        </is>
      </c>
      <c r="E129" t="n">
        <v>17.6</v>
      </c>
      <c r="F129" s="2">
        <f>IFERROR(VLOOKUP(C129&amp;"|"&amp;D129,Bang_gia!$A$2:$B$10,2,FALSE),"Không tìm thấy mã/khu vực/dịch vụ")</f>
        <v/>
      </c>
      <c r="G129" t="inlineStr">
        <is>
          <t>Mới tạo</t>
        </is>
      </c>
    </row>
    <row r="130">
      <c r="A130" t="inlineStr">
        <is>
          <t>FM000129</t>
        </is>
      </c>
      <c r="B130" t="inlineStr">
        <is>
          <t>2026-10-04</t>
        </is>
      </c>
      <c r="C130" t="inlineStr">
        <is>
          <t>Liên tỉnh</t>
        </is>
      </c>
      <c r="D130" t="inlineStr">
        <is>
          <t>Tiêu chuẩn</t>
        </is>
      </c>
      <c r="E130" t="n">
        <v>1.3</v>
      </c>
      <c r="F130" s="2">
        <f>IFERROR(VLOOKUP(C130&amp;"|"&amp;D130,Bang_gia!$A$2:$B$10,2,FALSE),"Không tìm thấy mã/khu vực/dịch vụ")</f>
        <v/>
      </c>
      <c r="G130" t="inlineStr">
        <is>
          <t>Chờ xử lý</t>
        </is>
      </c>
    </row>
    <row r="131">
      <c r="A131" t="inlineStr">
        <is>
          <t>FM000130</t>
        </is>
      </c>
      <c r="B131" t="inlineStr">
        <is>
          <t>2026-10-18</t>
        </is>
      </c>
      <c r="C131" t="inlineStr">
        <is>
          <t>Ngoại thành</t>
        </is>
      </c>
      <c r="D131" t="inlineStr">
        <is>
          <t>Tiêu chuẩn</t>
        </is>
      </c>
      <c r="E131" t="n">
        <v>0.8</v>
      </c>
      <c r="F131" s="2">
        <f>IFERROR(VLOOKUP(C131&amp;"|"&amp;D131,Bang_gia!$A$2:$B$10,2,FALSE),"Không tìm thấy mã/khu vực/dịch vụ")</f>
        <v/>
      </c>
      <c r="G131" t="inlineStr">
        <is>
          <t>Đang giao</t>
        </is>
      </c>
    </row>
    <row r="132">
      <c r="A132" t="inlineStr">
        <is>
          <t>FM000131</t>
        </is>
      </c>
      <c r="B132" t="inlineStr">
        <is>
          <t>2026-10-02</t>
        </is>
      </c>
      <c r="C132" t="inlineStr">
        <is>
          <t>Liên tỉnh</t>
        </is>
      </c>
      <c r="D132" t="inlineStr">
        <is>
          <t>Tiêu chuẩn</t>
        </is>
      </c>
      <c r="E132" t="n">
        <v>6.8</v>
      </c>
      <c r="F132" s="2">
        <f>IFERROR(VLOOKUP(C132&amp;"|"&amp;D132,Bang_gia!$A$2:$B$10,2,FALSE),"Không tìm thấy mã/khu vực/dịch vụ")</f>
        <v/>
      </c>
      <c r="G132" t="inlineStr">
        <is>
          <t>Chờ xử lý</t>
        </is>
      </c>
    </row>
    <row r="133">
      <c r="A133" t="inlineStr">
        <is>
          <t>FM000132</t>
        </is>
      </c>
      <c r="B133" t="inlineStr">
        <is>
          <t>2026-10-16</t>
        </is>
      </c>
      <c r="C133" t="inlineStr">
        <is>
          <t>Liên tỉnh</t>
        </is>
      </c>
      <c r="D133" t="inlineStr">
        <is>
          <t>Nhanh</t>
        </is>
      </c>
      <c r="E133" t="n">
        <v>12.2</v>
      </c>
      <c r="F133" s="2">
        <f>IFERROR(VLOOKUP(C133&amp;"|"&amp;D133,Bang_gia!$A$2:$B$10,2,FALSE),"Không tìm thấy mã/khu vực/dịch vụ")</f>
        <v/>
      </c>
      <c r="G133" t="inlineStr">
        <is>
          <t>Chờ xử lý</t>
        </is>
      </c>
    </row>
    <row r="134">
      <c r="A134" t="inlineStr">
        <is>
          <t>FM000133</t>
        </is>
      </c>
      <c r="B134" t="inlineStr">
        <is>
          <t>2026-10-21</t>
        </is>
      </c>
      <c r="C134" t="inlineStr">
        <is>
          <t>Liên tỉnh</t>
        </is>
      </c>
      <c r="D134" t="inlineStr">
        <is>
          <t>Nhanh</t>
        </is>
      </c>
      <c r="E134" t="n">
        <v>18.8</v>
      </c>
      <c r="F134" s="2">
        <f>IFERROR(VLOOKUP(C134&amp;"|"&amp;D134,Bang_gia!$A$2:$B$10,2,FALSE),"Không tìm thấy mã/khu vực/dịch vụ")</f>
        <v/>
      </c>
      <c r="G134" t="inlineStr">
        <is>
          <t>Mới tạo</t>
        </is>
      </c>
    </row>
    <row r="135">
      <c r="A135" t="inlineStr">
        <is>
          <t>FM000134</t>
        </is>
      </c>
      <c r="B135" t="inlineStr">
        <is>
          <t>2026-10-19</t>
        </is>
      </c>
      <c r="C135" t="inlineStr">
        <is>
          <t>Ngoại thành</t>
        </is>
      </c>
      <c r="D135" t="inlineStr">
        <is>
          <t>Nhanh</t>
        </is>
      </c>
      <c r="E135" t="n">
        <v>15.3</v>
      </c>
      <c r="F135" s="2">
        <f>IFERROR(VLOOKUP(C135&amp;"|"&amp;D135,Bang_gia!$A$2:$B$10,2,FALSE),"Không tìm thấy mã/khu vực/dịch vụ")</f>
        <v/>
      </c>
      <c r="G135" t="inlineStr">
        <is>
          <t>Mới tạo</t>
        </is>
      </c>
    </row>
    <row r="136">
      <c r="A136" t="inlineStr">
        <is>
          <t>FM000135</t>
        </is>
      </c>
      <c r="B136" t="inlineStr">
        <is>
          <t>2026-10-21</t>
        </is>
      </c>
      <c r="C136" t="inlineStr">
        <is>
          <t>Liên tỉnh</t>
        </is>
      </c>
      <c r="D136" t="inlineStr">
        <is>
          <t>Hỏa tốc</t>
        </is>
      </c>
      <c r="E136" t="n">
        <v>8.1</v>
      </c>
      <c r="F136" s="2">
        <f>IFERROR(VLOOKUP(C136&amp;"|"&amp;D136,Bang_gia!$A$2:$B$10,2,FALSE),"Không tìm thấy mã/khu vực/dịch vụ")</f>
        <v/>
      </c>
      <c r="G136" t="inlineStr">
        <is>
          <t>Chờ xử lý</t>
        </is>
      </c>
    </row>
    <row r="137">
      <c r="A137" t="inlineStr">
        <is>
          <t>FM000136</t>
        </is>
      </c>
      <c r="B137" t="inlineStr">
        <is>
          <t>2026-10-26</t>
        </is>
      </c>
      <c r="C137" t="inlineStr">
        <is>
          <t>Liên tỉnh</t>
        </is>
      </c>
      <c r="D137" t="inlineStr">
        <is>
          <t>Nhanh</t>
        </is>
      </c>
      <c r="E137" t="n">
        <v>13.4</v>
      </c>
      <c r="F137" s="2">
        <f>IFERROR(VLOOKUP(C137&amp;"|"&amp;D137,Bang_gia!$A$2:$B$10,2,FALSE),"Không tìm thấy mã/khu vực/dịch vụ")</f>
        <v/>
      </c>
      <c r="G137" t="inlineStr">
        <is>
          <t>Mới tạo</t>
        </is>
      </c>
    </row>
    <row r="138">
      <c r="A138" t="inlineStr">
        <is>
          <t>FM000137</t>
        </is>
      </c>
      <c r="B138" t="inlineStr">
        <is>
          <t>2026-10-17</t>
        </is>
      </c>
      <c r="C138" t="inlineStr">
        <is>
          <t>Liên tỉnh</t>
        </is>
      </c>
      <c r="D138" t="inlineStr">
        <is>
          <t>Hỏa tốc</t>
        </is>
      </c>
      <c r="E138" t="n">
        <v>16.2</v>
      </c>
      <c r="F138" s="2">
        <f>IFERROR(VLOOKUP(C138&amp;"|"&amp;D138,Bang_gia!$A$2:$B$10,2,FALSE),"Không tìm thấy mã/khu vực/dịch vụ")</f>
        <v/>
      </c>
      <c r="G138" t="inlineStr">
        <is>
          <t>Đang giao</t>
        </is>
      </c>
    </row>
    <row r="139">
      <c r="A139" t="inlineStr">
        <is>
          <t>FM000138</t>
        </is>
      </c>
      <c r="B139" t="inlineStr">
        <is>
          <t>2026-10-10</t>
        </is>
      </c>
      <c r="C139" t="inlineStr">
        <is>
          <t>Ngoại thành</t>
        </is>
      </c>
      <c r="D139" t="inlineStr">
        <is>
          <t>Hỏa tốc</t>
        </is>
      </c>
      <c r="E139" t="n">
        <v>11.4</v>
      </c>
      <c r="F139" s="2">
        <f>IFERROR(VLOOKUP(C139&amp;"|"&amp;D139,Bang_gia!$A$2:$B$10,2,FALSE),"Không tìm thấy mã/khu vực/dịch vụ")</f>
        <v/>
      </c>
      <c r="G139" t="inlineStr">
        <is>
          <t>Chờ xử lý</t>
        </is>
      </c>
    </row>
    <row r="140">
      <c r="A140" t="inlineStr">
        <is>
          <t>FM000139</t>
        </is>
      </c>
      <c r="B140" t="inlineStr">
        <is>
          <t>2026-10-15</t>
        </is>
      </c>
      <c r="C140" t="inlineStr">
        <is>
          <t>Liên tỉnh</t>
        </is>
      </c>
      <c r="D140" t="inlineStr">
        <is>
          <t>Tiêu chuẩn</t>
        </is>
      </c>
      <c r="E140" t="n">
        <v>11.2</v>
      </c>
      <c r="F140" s="2">
        <f>IFERROR(VLOOKUP(C140&amp;"|"&amp;D140,Bang_gia!$A$2:$B$10,2,FALSE),"Không tìm thấy mã/khu vực/dịch vụ")</f>
        <v/>
      </c>
      <c r="G140" t="inlineStr">
        <is>
          <t>Đã giao</t>
        </is>
      </c>
    </row>
    <row r="141">
      <c r="A141" t="inlineStr">
        <is>
          <t>FM000140</t>
        </is>
      </c>
      <c r="B141" t="inlineStr">
        <is>
          <t>2026-10-26</t>
        </is>
      </c>
      <c r="C141" t="inlineStr">
        <is>
          <t>Nội thành</t>
        </is>
      </c>
      <c r="D141" t="inlineStr">
        <is>
          <t>Hỏa tốc</t>
        </is>
      </c>
      <c r="E141" t="n">
        <v>17.7</v>
      </c>
      <c r="F141" s="2">
        <f>IFERROR(VLOOKUP(C141&amp;"|"&amp;D141,Bang_gia!$A$2:$B$10,2,FALSE),"Không tìm thấy mã/khu vực/dịch vụ")</f>
        <v/>
      </c>
      <c r="G141" t="inlineStr">
        <is>
          <t>Đã giao</t>
        </is>
      </c>
    </row>
    <row r="142">
      <c r="A142" t="inlineStr">
        <is>
          <t>FM000141</t>
        </is>
      </c>
      <c r="B142" t="inlineStr">
        <is>
          <t>2026-10-02</t>
        </is>
      </c>
      <c r="C142" t="inlineStr">
        <is>
          <t>Ngoại thành</t>
        </is>
      </c>
      <c r="D142" t="inlineStr">
        <is>
          <t>Hỏa tốc</t>
        </is>
      </c>
      <c r="E142" t="n">
        <v>13.6</v>
      </c>
      <c r="F142" s="2">
        <f>IFERROR(VLOOKUP(C142&amp;"|"&amp;D142,Bang_gia!$A$2:$B$10,2,FALSE),"Không tìm thấy mã/khu vực/dịch vụ")</f>
        <v/>
      </c>
      <c r="G142" t="inlineStr">
        <is>
          <t>Đã giao</t>
        </is>
      </c>
    </row>
    <row r="143">
      <c r="A143" t="inlineStr">
        <is>
          <t>FM000142</t>
        </is>
      </c>
      <c r="B143" t="inlineStr">
        <is>
          <t>2026-10-18</t>
        </is>
      </c>
      <c r="C143" t="inlineStr">
        <is>
          <t>Nội thành</t>
        </is>
      </c>
      <c r="D143" t="inlineStr">
        <is>
          <t>Tiêu chuẩn</t>
        </is>
      </c>
      <c r="E143" t="n">
        <v>16.7</v>
      </c>
      <c r="F143" s="2">
        <f>IFERROR(VLOOKUP(C143&amp;"|"&amp;D143,Bang_gia!$A$2:$B$10,2,FALSE),"Không tìm thấy mã/khu vực/dịch vụ")</f>
        <v/>
      </c>
      <c r="G143" t="inlineStr">
        <is>
          <t>Chờ xử lý</t>
        </is>
      </c>
    </row>
    <row r="144">
      <c r="A144" t="inlineStr">
        <is>
          <t>FM000143</t>
        </is>
      </c>
      <c r="B144" t="inlineStr">
        <is>
          <t>2026-10-23</t>
        </is>
      </c>
      <c r="C144" t="inlineStr">
        <is>
          <t>Ngoại thành</t>
        </is>
      </c>
      <c r="D144" t="inlineStr">
        <is>
          <t>Nhanh</t>
        </is>
      </c>
      <c r="E144" t="n">
        <v>18.9</v>
      </c>
      <c r="F144" s="2">
        <f>IFERROR(VLOOKUP(C144&amp;"|"&amp;D144,Bang_gia!$A$2:$B$10,2,FALSE),"Không tìm thấy mã/khu vực/dịch vụ")</f>
        <v/>
      </c>
      <c r="G144" t="inlineStr">
        <is>
          <t>Chờ xử lý</t>
        </is>
      </c>
    </row>
    <row r="145">
      <c r="A145" t="inlineStr">
        <is>
          <t>FM000144</t>
        </is>
      </c>
      <c r="B145" t="inlineStr">
        <is>
          <t>2026-10-21</t>
        </is>
      </c>
      <c r="C145" t="inlineStr">
        <is>
          <t>Liên tỉnh</t>
        </is>
      </c>
      <c r="D145" t="inlineStr">
        <is>
          <t>Tiêu chuẩn</t>
        </is>
      </c>
      <c r="E145" t="n">
        <v>1.4</v>
      </c>
      <c r="F145" s="2">
        <f>IFERROR(VLOOKUP(C145&amp;"|"&amp;D145,Bang_gia!$A$2:$B$10,2,FALSE),"Không tìm thấy mã/khu vực/dịch vụ")</f>
        <v/>
      </c>
      <c r="G145" t="inlineStr">
        <is>
          <t>Đã giao</t>
        </is>
      </c>
    </row>
    <row r="146">
      <c r="A146" t="inlineStr">
        <is>
          <t>FM000145</t>
        </is>
      </c>
      <c r="B146" t="inlineStr">
        <is>
          <t>2026-10-13</t>
        </is>
      </c>
      <c r="C146" t="inlineStr">
        <is>
          <t>Nội thành</t>
        </is>
      </c>
      <c r="D146" t="inlineStr">
        <is>
          <t>Tiêu chuẩn</t>
        </is>
      </c>
      <c r="E146" t="n">
        <v>2.2</v>
      </c>
      <c r="F146" s="2">
        <f>IFERROR(VLOOKUP(C146&amp;"|"&amp;D146,Bang_gia!$A$2:$B$10,2,FALSE),"Không tìm thấy mã/khu vực/dịch vụ")</f>
        <v/>
      </c>
      <c r="G146" t="inlineStr">
        <is>
          <t>Mới tạo</t>
        </is>
      </c>
    </row>
    <row r="147">
      <c r="A147" t="inlineStr">
        <is>
          <t>FM000146</t>
        </is>
      </c>
      <c r="B147" t="inlineStr">
        <is>
          <t>2026-10-23</t>
        </is>
      </c>
      <c r="C147" t="inlineStr">
        <is>
          <t>Nội thành</t>
        </is>
      </c>
      <c r="D147" t="inlineStr">
        <is>
          <t>Tiêu chuẩn</t>
        </is>
      </c>
      <c r="E147" t="n">
        <v>9.800000000000001</v>
      </c>
      <c r="F147" s="2">
        <f>IFERROR(VLOOKUP(C147&amp;"|"&amp;D147,Bang_gia!$A$2:$B$10,2,FALSE),"Không tìm thấy mã/khu vực/dịch vụ")</f>
        <v/>
      </c>
      <c r="G147" t="inlineStr">
        <is>
          <t>Đang giao</t>
        </is>
      </c>
    </row>
    <row r="148">
      <c r="A148" t="inlineStr">
        <is>
          <t>FM000147</t>
        </is>
      </c>
      <c r="B148" t="inlineStr">
        <is>
          <t>2026-10-15</t>
        </is>
      </c>
      <c r="C148" t="inlineStr">
        <is>
          <t>Liên tỉnh</t>
        </is>
      </c>
      <c r="D148" t="inlineStr">
        <is>
          <t>Tiêu chuẩn</t>
        </is>
      </c>
      <c r="E148" t="n">
        <v>5.1</v>
      </c>
      <c r="F148" s="2">
        <f>IFERROR(VLOOKUP(C148&amp;"|"&amp;D148,Bang_gia!$A$2:$B$10,2,FALSE),"Không tìm thấy mã/khu vực/dịch vụ")</f>
        <v/>
      </c>
      <c r="G148" t="inlineStr">
        <is>
          <t>Chờ xử lý</t>
        </is>
      </c>
    </row>
    <row r="149">
      <c r="A149" t="inlineStr">
        <is>
          <t>FM000148</t>
        </is>
      </c>
      <c r="B149" t="inlineStr">
        <is>
          <t>2026-10-12</t>
        </is>
      </c>
      <c r="C149" t="inlineStr">
        <is>
          <t>Nội thành</t>
        </is>
      </c>
      <c r="D149" t="inlineStr">
        <is>
          <t>Hỏa tốc</t>
        </is>
      </c>
      <c r="E149" t="n">
        <v>6.2</v>
      </c>
      <c r="F149" s="2">
        <f>IFERROR(VLOOKUP(C149&amp;"|"&amp;D149,Bang_gia!$A$2:$B$10,2,FALSE),"Không tìm thấy mã/khu vực/dịch vụ")</f>
        <v/>
      </c>
      <c r="G149" t="inlineStr">
        <is>
          <t>Chờ xử lý</t>
        </is>
      </c>
    </row>
    <row r="150">
      <c r="A150" t="inlineStr">
        <is>
          <t>FM000149</t>
        </is>
      </c>
      <c r="B150" t="inlineStr">
        <is>
          <t>2026-10-19</t>
        </is>
      </c>
      <c r="C150" t="inlineStr">
        <is>
          <t>Liên tỉnh</t>
        </is>
      </c>
      <c r="D150" t="inlineStr">
        <is>
          <t>Tiêu chuẩn</t>
        </is>
      </c>
      <c r="E150" t="n">
        <v>2.1</v>
      </c>
      <c r="F150" s="2">
        <f>IFERROR(VLOOKUP(C150&amp;"|"&amp;D150,Bang_gia!$A$2:$B$10,2,FALSE),"Không tìm thấy mã/khu vực/dịch vụ")</f>
        <v/>
      </c>
      <c r="G150" t="inlineStr">
        <is>
          <t>Đã giao</t>
        </is>
      </c>
    </row>
    <row r="151">
      <c r="A151" t="inlineStr">
        <is>
          <t>FM000150</t>
        </is>
      </c>
      <c r="B151" t="inlineStr">
        <is>
          <t>2026-10-04</t>
        </is>
      </c>
      <c r="C151" t="inlineStr">
        <is>
          <t>Ngoại thành</t>
        </is>
      </c>
      <c r="D151" t="inlineStr">
        <is>
          <t>Nhanh</t>
        </is>
      </c>
      <c r="E151" t="n">
        <v>2.3</v>
      </c>
      <c r="F151" s="2">
        <f>IFERROR(VLOOKUP(C151&amp;"|"&amp;D151,Bang_gia!$A$2:$B$10,2,FALSE),"Không tìm thấy mã/khu vực/dịch vụ")</f>
        <v/>
      </c>
      <c r="G151" t="inlineStr">
        <is>
          <t>Chờ xử lý</t>
        </is>
      </c>
    </row>
    <row r="152">
      <c r="A152" t="inlineStr">
        <is>
          <t>FM000151</t>
        </is>
      </c>
      <c r="B152" t="inlineStr">
        <is>
          <t>2026-10-15</t>
        </is>
      </c>
      <c r="C152" t="inlineStr">
        <is>
          <t>Ngoại thành</t>
        </is>
      </c>
      <c r="D152" t="inlineStr">
        <is>
          <t>Hỏa tốc</t>
        </is>
      </c>
      <c r="E152" t="n">
        <v>2.2</v>
      </c>
      <c r="F152" s="2">
        <f>IFERROR(VLOOKUP(C152&amp;"|"&amp;D152,Bang_gia!$A$2:$B$10,2,FALSE),"Không tìm thấy mã/khu vực/dịch vụ")</f>
        <v/>
      </c>
      <c r="G152" t="inlineStr">
        <is>
          <t>Đang giao</t>
        </is>
      </c>
    </row>
    <row r="153">
      <c r="A153" t="inlineStr">
        <is>
          <t>FM000152</t>
        </is>
      </c>
      <c r="B153" t="inlineStr">
        <is>
          <t>2026-10-05</t>
        </is>
      </c>
      <c r="C153" t="inlineStr">
        <is>
          <t>Nội thành</t>
        </is>
      </c>
      <c r="D153" t="inlineStr">
        <is>
          <t>Nhanh</t>
        </is>
      </c>
      <c r="E153" t="n">
        <v>7.9</v>
      </c>
      <c r="F153" s="2">
        <f>IFERROR(VLOOKUP(C153&amp;"|"&amp;D153,Bang_gia!$A$2:$B$10,2,FALSE),"Không tìm thấy mã/khu vực/dịch vụ")</f>
        <v/>
      </c>
      <c r="G153" t="inlineStr">
        <is>
          <t>Đã giao</t>
        </is>
      </c>
    </row>
    <row r="154">
      <c r="A154" t="inlineStr">
        <is>
          <t>FM000153</t>
        </is>
      </c>
      <c r="B154" t="inlineStr">
        <is>
          <t>2026-10-23</t>
        </is>
      </c>
      <c r="C154" t="inlineStr">
        <is>
          <t>Liên tỉnh</t>
        </is>
      </c>
      <c r="D154" t="inlineStr">
        <is>
          <t>Hỏa tốc</t>
        </is>
      </c>
      <c r="E154" t="n">
        <v>8.6</v>
      </c>
      <c r="F154" s="2">
        <f>IFERROR(VLOOKUP(C154&amp;"|"&amp;D154,Bang_gia!$A$2:$B$10,2,FALSE),"Không tìm thấy mã/khu vực/dịch vụ")</f>
        <v/>
      </c>
      <c r="G154" t="inlineStr">
        <is>
          <t>Mới tạo</t>
        </is>
      </c>
    </row>
    <row r="155">
      <c r="A155" t="inlineStr">
        <is>
          <t>FM000154</t>
        </is>
      </c>
      <c r="B155" t="inlineStr">
        <is>
          <t>2026-10-22</t>
        </is>
      </c>
      <c r="C155" t="inlineStr">
        <is>
          <t>Ngoại thành</t>
        </is>
      </c>
      <c r="D155" t="inlineStr">
        <is>
          <t>Nhanh</t>
        </is>
      </c>
      <c r="E155" t="n">
        <v>12.8</v>
      </c>
      <c r="F155" s="2">
        <f>IFERROR(VLOOKUP(C155&amp;"|"&amp;D155,Bang_gia!$A$2:$B$10,2,FALSE),"Không tìm thấy mã/khu vực/dịch vụ")</f>
        <v/>
      </c>
      <c r="G155" t="inlineStr">
        <is>
          <t>Đang giao</t>
        </is>
      </c>
    </row>
    <row r="156">
      <c r="A156" t="inlineStr">
        <is>
          <t>FM000155</t>
        </is>
      </c>
      <c r="B156" t="inlineStr">
        <is>
          <t>2026-10-06</t>
        </is>
      </c>
      <c r="C156" t="inlineStr">
        <is>
          <t>Nội thành</t>
        </is>
      </c>
      <c r="D156" t="inlineStr">
        <is>
          <t>Hỏa tốc</t>
        </is>
      </c>
      <c r="E156" t="n">
        <v>4.9</v>
      </c>
      <c r="F156" s="2">
        <f>IFERROR(VLOOKUP(C156&amp;"|"&amp;D156,Bang_gia!$A$2:$B$10,2,FALSE),"Không tìm thấy mã/khu vực/dịch vụ")</f>
        <v/>
      </c>
      <c r="G156" t="inlineStr">
        <is>
          <t>Đang giao</t>
        </is>
      </c>
    </row>
    <row r="157">
      <c r="A157" t="inlineStr">
        <is>
          <t>FM000156</t>
        </is>
      </c>
      <c r="B157" t="inlineStr">
        <is>
          <t>2026-10-18</t>
        </is>
      </c>
      <c r="C157" t="inlineStr">
        <is>
          <t>Ngoại thành</t>
        </is>
      </c>
      <c r="D157" t="inlineStr">
        <is>
          <t>Hỏa tốc</t>
        </is>
      </c>
      <c r="E157" t="n">
        <v>16.8</v>
      </c>
      <c r="F157" s="2">
        <f>IFERROR(VLOOKUP(C157&amp;"|"&amp;D157,Bang_gia!$A$2:$B$10,2,FALSE),"Không tìm thấy mã/khu vực/dịch vụ")</f>
        <v/>
      </c>
      <c r="G157" t="inlineStr">
        <is>
          <t>Đang giao</t>
        </is>
      </c>
    </row>
    <row r="158">
      <c r="A158" t="inlineStr">
        <is>
          <t>FM000157</t>
        </is>
      </c>
      <c r="B158" t="inlineStr">
        <is>
          <t>2026-10-01</t>
        </is>
      </c>
      <c r="C158" t="inlineStr">
        <is>
          <t>Nội thành</t>
        </is>
      </c>
      <c r="D158" t="inlineStr">
        <is>
          <t>Hỏa tốc</t>
        </is>
      </c>
      <c r="E158" t="n">
        <v>16.3</v>
      </c>
      <c r="F158" s="2">
        <f>IFERROR(VLOOKUP(C158&amp;"|"&amp;D158,Bang_gia!$A$2:$B$10,2,FALSE),"Không tìm thấy mã/khu vực/dịch vụ")</f>
        <v/>
      </c>
      <c r="G158" t="inlineStr">
        <is>
          <t>Đã giao</t>
        </is>
      </c>
    </row>
    <row r="159">
      <c r="A159" t="inlineStr">
        <is>
          <t>FM000158</t>
        </is>
      </c>
      <c r="B159" t="inlineStr">
        <is>
          <t>2026-10-26</t>
        </is>
      </c>
      <c r="C159" t="inlineStr">
        <is>
          <t>Ngoại thành</t>
        </is>
      </c>
      <c r="D159" t="inlineStr">
        <is>
          <t>Tiêu chuẩn</t>
        </is>
      </c>
      <c r="E159" t="n">
        <v>3.5</v>
      </c>
      <c r="F159" s="2">
        <f>IFERROR(VLOOKUP(C159&amp;"|"&amp;D159,Bang_gia!$A$2:$B$10,2,FALSE),"Không tìm thấy mã/khu vực/dịch vụ")</f>
        <v/>
      </c>
      <c r="G159" t="inlineStr">
        <is>
          <t>Đã giao</t>
        </is>
      </c>
    </row>
    <row r="160">
      <c r="A160" t="inlineStr">
        <is>
          <t>FM000159</t>
        </is>
      </c>
      <c r="B160" t="inlineStr">
        <is>
          <t>2026-10-24</t>
        </is>
      </c>
      <c r="C160" t="inlineStr">
        <is>
          <t>Liên tỉnh</t>
        </is>
      </c>
      <c r="D160" t="inlineStr">
        <is>
          <t>Nhanh</t>
        </is>
      </c>
      <c r="E160" t="n">
        <v>6.1</v>
      </c>
      <c r="F160" s="2">
        <f>IFERROR(VLOOKUP(C160&amp;"|"&amp;D160,Bang_gia!$A$2:$B$10,2,FALSE),"Không tìm thấy mã/khu vực/dịch vụ")</f>
        <v/>
      </c>
      <c r="G160" t="inlineStr">
        <is>
          <t>Đang giao</t>
        </is>
      </c>
    </row>
    <row r="161">
      <c r="A161" t="inlineStr">
        <is>
          <t>FM000160</t>
        </is>
      </c>
      <c r="B161" t="inlineStr">
        <is>
          <t>2026-10-19</t>
        </is>
      </c>
      <c r="C161" t="inlineStr">
        <is>
          <t>Ngoại thành</t>
        </is>
      </c>
      <c r="D161" t="inlineStr">
        <is>
          <t>Tiêu chuẩn</t>
        </is>
      </c>
      <c r="E161" t="n">
        <v>2.3</v>
      </c>
      <c r="F161" s="2">
        <f>IFERROR(VLOOKUP(C161&amp;"|"&amp;D161,Bang_gia!$A$2:$B$10,2,FALSE),"Không tìm thấy mã/khu vực/dịch vụ")</f>
        <v/>
      </c>
      <c r="G161" t="inlineStr">
        <is>
          <t>Đang giao</t>
        </is>
      </c>
    </row>
    <row r="162">
      <c r="A162" t="inlineStr">
        <is>
          <t>FM000161</t>
        </is>
      </c>
      <c r="B162" t="inlineStr">
        <is>
          <t>2026-10-25</t>
        </is>
      </c>
      <c r="C162" t="inlineStr">
        <is>
          <t>Nội thành</t>
        </is>
      </c>
      <c r="D162" t="inlineStr">
        <is>
          <t>Tiêu chuẩn</t>
        </is>
      </c>
      <c r="E162" t="n">
        <v>3.4</v>
      </c>
      <c r="F162" s="2">
        <f>IFERROR(VLOOKUP(C162&amp;"|"&amp;D162,Bang_gia!$A$2:$B$10,2,FALSE),"Không tìm thấy mã/khu vực/dịch vụ")</f>
        <v/>
      </c>
      <c r="G162" t="inlineStr">
        <is>
          <t>Đang giao</t>
        </is>
      </c>
    </row>
    <row r="163">
      <c r="A163" t="inlineStr">
        <is>
          <t>FM000162</t>
        </is>
      </c>
      <c r="B163" t="inlineStr">
        <is>
          <t>2026-10-18</t>
        </is>
      </c>
      <c r="C163" t="inlineStr">
        <is>
          <t>Ngoại thành</t>
        </is>
      </c>
      <c r="D163" t="inlineStr">
        <is>
          <t>Nhanh</t>
        </is>
      </c>
      <c r="E163" t="n">
        <v>7.9</v>
      </c>
      <c r="F163" s="2">
        <f>IFERROR(VLOOKUP(C163&amp;"|"&amp;D163,Bang_gia!$A$2:$B$10,2,FALSE),"Không tìm thấy mã/khu vực/dịch vụ")</f>
        <v/>
      </c>
      <c r="G163" t="inlineStr">
        <is>
          <t>Chờ xử lý</t>
        </is>
      </c>
    </row>
    <row r="164">
      <c r="A164" t="inlineStr">
        <is>
          <t>FM000163</t>
        </is>
      </c>
      <c r="B164" t="inlineStr">
        <is>
          <t>2026-10-03</t>
        </is>
      </c>
      <c r="C164" t="inlineStr">
        <is>
          <t>Liên tỉnh</t>
        </is>
      </c>
      <c r="D164" t="inlineStr">
        <is>
          <t>Nhanh</t>
        </is>
      </c>
      <c r="E164" t="n">
        <v>7.8</v>
      </c>
      <c r="F164" s="2">
        <f>IFERROR(VLOOKUP(C164&amp;"|"&amp;D164,Bang_gia!$A$2:$B$10,2,FALSE),"Không tìm thấy mã/khu vực/dịch vụ")</f>
        <v/>
      </c>
      <c r="G164" t="inlineStr">
        <is>
          <t>Chờ xử lý</t>
        </is>
      </c>
    </row>
    <row r="165">
      <c r="A165" t="inlineStr">
        <is>
          <t>FM000164</t>
        </is>
      </c>
      <c r="B165" t="inlineStr">
        <is>
          <t>2026-10-16</t>
        </is>
      </c>
      <c r="C165" t="inlineStr">
        <is>
          <t>Ngoại thành</t>
        </is>
      </c>
      <c r="D165" t="inlineStr">
        <is>
          <t>Nhanh</t>
        </is>
      </c>
      <c r="E165" t="n">
        <v>14.7</v>
      </c>
      <c r="F165" s="2">
        <f>IFERROR(VLOOKUP(C165&amp;"|"&amp;D165,Bang_gia!$A$2:$B$10,2,FALSE),"Không tìm thấy mã/khu vực/dịch vụ")</f>
        <v/>
      </c>
      <c r="G165" t="inlineStr">
        <is>
          <t>Đã giao</t>
        </is>
      </c>
    </row>
    <row r="166">
      <c r="A166" t="inlineStr">
        <is>
          <t>FM000165</t>
        </is>
      </c>
      <c r="B166" t="inlineStr">
        <is>
          <t>2026-10-22</t>
        </is>
      </c>
      <c r="C166" t="inlineStr">
        <is>
          <t>Nội thành</t>
        </is>
      </c>
      <c r="D166" t="inlineStr">
        <is>
          <t>Hỏa tốc</t>
        </is>
      </c>
      <c r="E166" t="n">
        <v>2.2</v>
      </c>
      <c r="F166" s="2">
        <f>IFERROR(VLOOKUP(C166&amp;"|"&amp;D166,Bang_gia!$A$2:$B$10,2,FALSE),"Không tìm thấy mã/khu vực/dịch vụ")</f>
        <v/>
      </c>
      <c r="G166" t="inlineStr">
        <is>
          <t>Đã giao</t>
        </is>
      </c>
    </row>
    <row r="167">
      <c r="A167" t="inlineStr">
        <is>
          <t>FM000166</t>
        </is>
      </c>
      <c r="B167" t="inlineStr">
        <is>
          <t>2026-10-14</t>
        </is>
      </c>
      <c r="C167" t="inlineStr">
        <is>
          <t>Liên tỉnh</t>
        </is>
      </c>
      <c r="D167" t="inlineStr">
        <is>
          <t>Hỏa tốc</t>
        </is>
      </c>
      <c r="E167" t="n">
        <v>0.4</v>
      </c>
      <c r="F167" s="2">
        <f>IFERROR(VLOOKUP(C167&amp;"|"&amp;D167,Bang_gia!$A$2:$B$10,2,FALSE),"Không tìm thấy mã/khu vực/dịch vụ")</f>
        <v/>
      </c>
      <c r="G167" t="inlineStr">
        <is>
          <t>Đã giao</t>
        </is>
      </c>
    </row>
    <row r="168">
      <c r="A168" t="inlineStr">
        <is>
          <t>FM000167</t>
        </is>
      </c>
      <c r="B168" t="inlineStr">
        <is>
          <t>2026-10-02</t>
        </is>
      </c>
      <c r="C168" t="inlineStr">
        <is>
          <t>Liên tỉnh</t>
        </is>
      </c>
      <c r="D168" t="inlineStr">
        <is>
          <t>Nhanh</t>
        </is>
      </c>
      <c r="E168" t="n">
        <v>13.1</v>
      </c>
      <c r="F168" s="2">
        <f>IFERROR(VLOOKUP(C168&amp;"|"&amp;D168,Bang_gia!$A$2:$B$10,2,FALSE),"Không tìm thấy mã/khu vực/dịch vụ")</f>
        <v/>
      </c>
      <c r="G168" t="inlineStr">
        <is>
          <t>Đang giao</t>
        </is>
      </c>
    </row>
    <row r="169">
      <c r="A169" t="inlineStr">
        <is>
          <t>FM000168</t>
        </is>
      </c>
      <c r="B169" t="inlineStr">
        <is>
          <t>2026-10-18</t>
        </is>
      </c>
      <c r="C169" t="inlineStr">
        <is>
          <t>Liên tỉnh</t>
        </is>
      </c>
      <c r="D169" t="inlineStr">
        <is>
          <t>Tiêu chuẩn</t>
        </is>
      </c>
      <c r="E169" t="n">
        <v>9.800000000000001</v>
      </c>
      <c r="F169" s="2">
        <f>IFERROR(VLOOKUP(C169&amp;"|"&amp;D169,Bang_gia!$A$2:$B$10,2,FALSE),"Không tìm thấy mã/khu vực/dịch vụ")</f>
        <v/>
      </c>
      <c r="G169" t="inlineStr">
        <is>
          <t>Mới tạo</t>
        </is>
      </c>
    </row>
    <row r="170">
      <c r="A170" t="inlineStr">
        <is>
          <t>FM000169</t>
        </is>
      </c>
      <c r="B170" t="inlineStr">
        <is>
          <t>2026-10-02</t>
        </is>
      </c>
      <c r="C170" t="inlineStr">
        <is>
          <t>Liên tỉnh</t>
        </is>
      </c>
      <c r="D170" t="inlineStr">
        <is>
          <t>Tiêu chuẩn</t>
        </is>
      </c>
      <c r="E170" t="n">
        <v>14.5</v>
      </c>
      <c r="F170" s="2">
        <f>IFERROR(VLOOKUP(C170&amp;"|"&amp;D170,Bang_gia!$A$2:$B$10,2,FALSE),"Không tìm thấy mã/khu vực/dịch vụ")</f>
        <v/>
      </c>
      <c r="G170" t="inlineStr">
        <is>
          <t>Mới tạo</t>
        </is>
      </c>
    </row>
    <row r="171">
      <c r="A171" t="inlineStr">
        <is>
          <t>FM000170</t>
        </is>
      </c>
      <c r="B171" t="inlineStr">
        <is>
          <t>2026-10-08</t>
        </is>
      </c>
      <c r="C171" t="inlineStr">
        <is>
          <t>Ngoại thành</t>
        </is>
      </c>
      <c r="D171" t="inlineStr">
        <is>
          <t>Tiêu chuẩn</t>
        </is>
      </c>
      <c r="E171" t="n">
        <v>16.4</v>
      </c>
      <c r="F171" s="2">
        <f>IFERROR(VLOOKUP(C171&amp;"|"&amp;D171,Bang_gia!$A$2:$B$10,2,FALSE),"Không tìm thấy mã/khu vực/dịch vụ")</f>
        <v/>
      </c>
      <c r="G171" t="inlineStr">
        <is>
          <t>Đã giao</t>
        </is>
      </c>
    </row>
    <row r="172">
      <c r="A172" t="inlineStr">
        <is>
          <t>FM000171</t>
        </is>
      </c>
      <c r="B172" t="inlineStr">
        <is>
          <t>2026-10-22</t>
        </is>
      </c>
      <c r="C172" t="inlineStr">
        <is>
          <t>Ngoại thành</t>
        </is>
      </c>
      <c r="D172" t="inlineStr">
        <is>
          <t>Hỏa tốc</t>
        </is>
      </c>
      <c r="E172" t="n">
        <v>10.9</v>
      </c>
      <c r="F172" s="2">
        <f>IFERROR(VLOOKUP(C172&amp;"|"&amp;D172,Bang_gia!$A$2:$B$10,2,FALSE),"Không tìm thấy mã/khu vực/dịch vụ")</f>
        <v/>
      </c>
      <c r="G172" t="inlineStr">
        <is>
          <t>Mới tạo</t>
        </is>
      </c>
    </row>
    <row r="173">
      <c r="A173" t="inlineStr">
        <is>
          <t>FM000172</t>
        </is>
      </c>
      <c r="B173" t="inlineStr">
        <is>
          <t>2026-10-07</t>
        </is>
      </c>
      <c r="C173" t="inlineStr">
        <is>
          <t>Nội thành</t>
        </is>
      </c>
      <c r="D173" t="inlineStr">
        <is>
          <t>Hỏa tốc</t>
        </is>
      </c>
      <c r="E173" t="n">
        <v>10.3</v>
      </c>
      <c r="F173" s="2">
        <f>IFERROR(VLOOKUP(C173&amp;"|"&amp;D173,Bang_gia!$A$2:$B$10,2,FALSE),"Không tìm thấy mã/khu vực/dịch vụ")</f>
        <v/>
      </c>
      <c r="G173" t="inlineStr">
        <is>
          <t>Đã giao</t>
        </is>
      </c>
    </row>
    <row r="174">
      <c r="A174" t="inlineStr">
        <is>
          <t>FM000173</t>
        </is>
      </c>
      <c r="B174" t="inlineStr">
        <is>
          <t>2026-10-14</t>
        </is>
      </c>
      <c r="C174" t="inlineStr">
        <is>
          <t>Nội thành</t>
        </is>
      </c>
      <c r="D174" t="inlineStr">
        <is>
          <t>Hỏa tốc</t>
        </is>
      </c>
      <c r="E174" t="n">
        <v>0.8</v>
      </c>
      <c r="F174" s="2">
        <f>IFERROR(VLOOKUP(C174&amp;"|"&amp;D174,Bang_gia!$A$2:$B$10,2,FALSE),"Không tìm thấy mã/khu vực/dịch vụ")</f>
        <v/>
      </c>
      <c r="G174" t="inlineStr">
        <is>
          <t>Mới tạo</t>
        </is>
      </c>
    </row>
    <row r="175">
      <c r="A175" t="inlineStr">
        <is>
          <t>FM000174</t>
        </is>
      </c>
      <c r="B175" t="inlineStr">
        <is>
          <t>2026-10-11</t>
        </is>
      </c>
      <c r="C175" t="inlineStr">
        <is>
          <t>Nội thành</t>
        </is>
      </c>
      <c r="D175" t="inlineStr">
        <is>
          <t>Nhanh</t>
        </is>
      </c>
      <c r="E175" t="n">
        <v>3.1</v>
      </c>
      <c r="F175" s="2">
        <f>IFERROR(VLOOKUP(C175&amp;"|"&amp;D175,Bang_gia!$A$2:$B$10,2,FALSE),"Không tìm thấy mã/khu vực/dịch vụ")</f>
        <v/>
      </c>
      <c r="G175" t="inlineStr">
        <is>
          <t>Đã giao</t>
        </is>
      </c>
    </row>
    <row r="176">
      <c r="A176" t="inlineStr">
        <is>
          <t>FM000175</t>
        </is>
      </c>
      <c r="B176" t="inlineStr">
        <is>
          <t>2026-10-11</t>
        </is>
      </c>
      <c r="C176" t="inlineStr">
        <is>
          <t>Nội thành</t>
        </is>
      </c>
      <c r="D176" t="inlineStr">
        <is>
          <t>Tiêu chuẩn</t>
        </is>
      </c>
      <c r="E176" t="n">
        <v>17.7</v>
      </c>
      <c r="F176" s="2">
        <f>IFERROR(VLOOKUP(C176&amp;"|"&amp;D176,Bang_gia!$A$2:$B$10,2,FALSE),"Không tìm thấy mã/khu vực/dịch vụ")</f>
        <v/>
      </c>
      <c r="G176" t="inlineStr">
        <is>
          <t>Chờ xử lý</t>
        </is>
      </c>
    </row>
    <row r="177">
      <c r="A177" t="inlineStr">
        <is>
          <t>FM000176</t>
        </is>
      </c>
      <c r="B177" t="inlineStr">
        <is>
          <t>2026-10-20</t>
        </is>
      </c>
      <c r="C177" t="inlineStr">
        <is>
          <t>Liên tỉnh</t>
        </is>
      </c>
      <c r="D177" t="inlineStr">
        <is>
          <t>Tiêu chuẩn</t>
        </is>
      </c>
      <c r="E177" t="n">
        <v>6.6</v>
      </c>
      <c r="F177" s="2">
        <f>IFERROR(VLOOKUP(C177&amp;"|"&amp;D177,Bang_gia!$A$2:$B$10,2,FALSE),"Không tìm thấy mã/khu vực/dịch vụ")</f>
        <v/>
      </c>
      <c r="G177" t="inlineStr">
        <is>
          <t>Đã giao</t>
        </is>
      </c>
    </row>
    <row r="178">
      <c r="A178" t="inlineStr">
        <is>
          <t>FM000177</t>
        </is>
      </c>
      <c r="B178" t="inlineStr">
        <is>
          <t>2026-10-23</t>
        </is>
      </c>
      <c r="C178" t="inlineStr">
        <is>
          <t>Nội thành</t>
        </is>
      </c>
      <c r="D178" t="inlineStr">
        <is>
          <t>Tiêu chuẩn</t>
        </is>
      </c>
      <c r="E178" t="n">
        <v>5.6</v>
      </c>
      <c r="F178" s="2">
        <f>IFERROR(VLOOKUP(C178&amp;"|"&amp;D178,Bang_gia!$A$2:$B$10,2,FALSE),"Không tìm thấy mã/khu vực/dịch vụ")</f>
        <v/>
      </c>
      <c r="G178" t="inlineStr">
        <is>
          <t>Mới tạo</t>
        </is>
      </c>
    </row>
    <row r="179">
      <c r="A179" t="inlineStr">
        <is>
          <t>FM000178</t>
        </is>
      </c>
      <c r="B179" t="inlineStr">
        <is>
          <t>2026-10-20</t>
        </is>
      </c>
      <c r="C179" t="inlineStr">
        <is>
          <t>Liên tỉnh</t>
        </is>
      </c>
      <c r="D179" t="inlineStr">
        <is>
          <t>Tiêu chuẩn</t>
        </is>
      </c>
      <c r="E179" t="n">
        <v>12.3</v>
      </c>
      <c r="F179" s="2">
        <f>IFERROR(VLOOKUP(C179&amp;"|"&amp;D179,Bang_gia!$A$2:$B$10,2,FALSE),"Không tìm thấy mã/khu vực/dịch vụ")</f>
        <v/>
      </c>
      <c r="G179" t="inlineStr">
        <is>
          <t>Đã giao</t>
        </is>
      </c>
    </row>
    <row r="180">
      <c r="A180" t="inlineStr">
        <is>
          <t>FM000179</t>
        </is>
      </c>
      <c r="B180" t="inlineStr">
        <is>
          <t>2026-10-10</t>
        </is>
      </c>
      <c r="C180" t="inlineStr">
        <is>
          <t>Liên tỉnh</t>
        </is>
      </c>
      <c r="D180" t="inlineStr">
        <is>
          <t>Tiêu chuẩn</t>
        </is>
      </c>
      <c r="E180" t="n">
        <v>17.8</v>
      </c>
      <c r="F180" s="2">
        <f>IFERROR(VLOOKUP(C180&amp;"|"&amp;D180,Bang_gia!$A$2:$B$10,2,FALSE),"Không tìm thấy mã/khu vực/dịch vụ")</f>
        <v/>
      </c>
      <c r="G180" t="inlineStr">
        <is>
          <t>Đang giao</t>
        </is>
      </c>
    </row>
    <row r="181">
      <c r="A181" t="inlineStr">
        <is>
          <t>FM000180</t>
        </is>
      </c>
      <c r="B181" t="inlineStr">
        <is>
          <t>2026-10-23</t>
        </is>
      </c>
      <c r="C181" t="inlineStr">
        <is>
          <t>Nội thành</t>
        </is>
      </c>
      <c r="D181" t="inlineStr">
        <is>
          <t>Tiêu chuẩn</t>
        </is>
      </c>
      <c r="E181" t="n">
        <v>1</v>
      </c>
      <c r="F181" s="2">
        <f>IFERROR(VLOOKUP(C181&amp;"|"&amp;D181,Bang_gia!$A$2:$B$10,2,FALSE),"Không tìm thấy mã/khu vực/dịch vụ")</f>
        <v/>
      </c>
      <c r="G181" t="inlineStr">
        <is>
          <t>Đang giao</t>
        </is>
      </c>
    </row>
    <row r="182">
      <c r="A182" t="inlineStr">
        <is>
          <t>FM000181</t>
        </is>
      </c>
      <c r="B182" t="inlineStr">
        <is>
          <t>2026-10-15</t>
        </is>
      </c>
      <c r="C182" t="inlineStr">
        <is>
          <t>Ngoại thành</t>
        </is>
      </c>
      <c r="D182" t="inlineStr">
        <is>
          <t>Nhanh</t>
        </is>
      </c>
      <c r="E182" t="n">
        <v>14.5</v>
      </c>
      <c r="F182" s="2">
        <f>IFERROR(VLOOKUP(C182&amp;"|"&amp;D182,Bang_gia!$A$2:$B$10,2,FALSE),"Không tìm thấy mã/khu vực/dịch vụ")</f>
        <v/>
      </c>
      <c r="G182" t="inlineStr">
        <is>
          <t>Đã giao</t>
        </is>
      </c>
    </row>
    <row r="183">
      <c r="A183" t="inlineStr">
        <is>
          <t>FM000182</t>
        </is>
      </c>
      <c r="B183" t="inlineStr">
        <is>
          <t>2026-10-10</t>
        </is>
      </c>
      <c r="C183" t="inlineStr">
        <is>
          <t>Ngoại thành</t>
        </is>
      </c>
      <c r="D183" t="inlineStr">
        <is>
          <t>Hỏa tốc</t>
        </is>
      </c>
      <c r="E183" t="n">
        <v>14.3</v>
      </c>
      <c r="F183" s="2">
        <f>IFERROR(VLOOKUP(C183&amp;"|"&amp;D183,Bang_gia!$A$2:$B$10,2,FALSE),"Không tìm thấy mã/khu vực/dịch vụ")</f>
        <v/>
      </c>
      <c r="G183" t="inlineStr">
        <is>
          <t>Đang giao</t>
        </is>
      </c>
    </row>
    <row r="184">
      <c r="A184" t="inlineStr">
        <is>
          <t>FM000183</t>
        </is>
      </c>
      <c r="B184" t="inlineStr">
        <is>
          <t>2026-10-15</t>
        </is>
      </c>
      <c r="C184" t="inlineStr">
        <is>
          <t>Ngoại thành</t>
        </is>
      </c>
      <c r="D184" t="inlineStr">
        <is>
          <t>Nhanh</t>
        </is>
      </c>
      <c r="E184" t="n">
        <v>19.9</v>
      </c>
      <c r="F184" s="2">
        <f>IFERROR(VLOOKUP(C184&amp;"|"&amp;D184,Bang_gia!$A$2:$B$10,2,FALSE),"Không tìm thấy mã/khu vực/dịch vụ")</f>
        <v/>
      </c>
      <c r="G184" t="inlineStr">
        <is>
          <t>Đang giao</t>
        </is>
      </c>
    </row>
    <row r="185">
      <c r="A185" t="inlineStr">
        <is>
          <t>FM000184</t>
        </is>
      </c>
      <c r="B185" t="inlineStr">
        <is>
          <t>2026-10-21</t>
        </is>
      </c>
      <c r="C185" t="inlineStr">
        <is>
          <t>Liên tỉnh</t>
        </is>
      </c>
      <c r="D185" t="inlineStr">
        <is>
          <t>Hỏa tốc</t>
        </is>
      </c>
      <c r="E185" t="n">
        <v>16.1</v>
      </c>
      <c r="F185" s="2">
        <f>IFERROR(VLOOKUP(C185&amp;"|"&amp;D185,Bang_gia!$A$2:$B$10,2,FALSE),"Không tìm thấy mã/khu vực/dịch vụ")</f>
        <v/>
      </c>
      <c r="G185" t="inlineStr">
        <is>
          <t>Đã giao</t>
        </is>
      </c>
    </row>
    <row r="186">
      <c r="A186" t="inlineStr">
        <is>
          <t>FM000185</t>
        </is>
      </c>
      <c r="B186" t="inlineStr">
        <is>
          <t>2026-10-09</t>
        </is>
      </c>
      <c r="C186" t="inlineStr">
        <is>
          <t>Nội thành</t>
        </is>
      </c>
      <c r="D186" t="inlineStr">
        <is>
          <t>Hỏa tốc</t>
        </is>
      </c>
      <c r="E186" t="n">
        <v>19.2</v>
      </c>
      <c r="F186" s="2">
        <f>IFERROR(VLOOKUP(C186&amp;"|"&amp;D186,Bang_gia!$A$2:$B$10,2,FALSE),"Không tìm thấy mã/khu vực/dịch vụ")</f>
        <v/>
      </c>
      <c r="G186" t="inlineStr">
        <is>
          <t>Mới tạo</t>
        </is>
      </c>
    </row>
    <row r="187">
      <c r="A187" t="inlineStr">
        <is>
          <t>FM000186</t>
        </is>
      </c>
      <c r="B187" t="inlineStr">
        <is>
          <t>2026-10-17</t>
        </is>
      </c>
      <c r="C187" t="inlineStr">
        <is>
          <t>Ngoại thành</t>
        </is>
      </c>
      <c r="D187" t="inlineStr">
        <is>
          <t>Nhanh</t>
        </is>
      </c>
      <c r="E187" t="n">
        <v>2.5</v>
      </c>
      <c r="F187" s="2">
        <f>IFERROR(VLOOKUP(C187&amp;"|"&amp;D187,Bang_gia!$A$2:$B$10,2,FALSE),"Không tìm thấy mã/khu vực/dịch vụ")</f>
        <v/>
      </c>
      <c r="G187" t="inlineStr">
        <is>
          <t>Mới tạo</t>
        </is>
      </c>
    </row>
    <row r="188">
      <c r="A188" t="inlineStr">
        <is>
          <t>FM000187</t>
        </is>
      </c>
      <c r="B188" t="inlineStr">
        <is>
          <t>2026-10-15</t>
        </is>
      </c>
      <c r="C188" t="inlineStr">
        <is>
          <t>Nội thành</t>
        </is>
      </c>
      <c r="D188" t="inlineStr">
        <is>
          <t>Hỏa tốc</t>
        </is>
      </c>
      <c r="E188" t="n">
        <v>13.9</v>
      </c>
      <c r="F188" s="2">
        <f>IFERROR(VLOOKUP(C188&amp;"|"&amp;D188,Bang_gia!$A$2:$B$10,2,FALSE),"Không tìm thấy mã/khu vực/dịch vụ")</f>
        <v/>
      </c>
      <c r="G188" t="inlineStr">
        <is>
          <t>Đang giao</t>
        </is>
      </c>
    </row>
    <row r="189">
      <c r="A189" t="inlineStr">
        <is>
          <t>FM000188</t>
        </is>
      </c>
      <c r="B189" t="inlineStr">
        <is>
          <t>2026-10-01</t>
        </is>
      </c>
      <c r="C189" t="inlineStr">
        <is>
          <t>Nội thành</t>
        </is>
      </c>
      <c r="D189" t="inlineStr">
        <is>
          <t>Hỏa tốc</t>
        </is>
      </c>
      <c r="E189" t="n">
        <v>2.8</v>
      </c>
      <c r="F189" s="2">
        <f>IFERROR(VLOOKUP(C189&amp;"|"&amp;D189,Bang_gia!$A$2:$B$10,2,FALSE),"Không tìm thấy mã/khu vực/dịch vụ")</f>
        <v/>
      </c>
      <c r="G189" t="inlineStr">
        <is>
          <t>Mới tạo</t>
        </is>
      </c>
    </row>
    <row r="190">
      <c r="A190" t="inlineStr">
        <is>
          <t>FM000189</t>
        </is>
      </c>
      <c r="B190" t="inlineStr">
        <is>
          <t>2026-10-18</t>
        </is>
      </c>
      <c r="C190" t="inlineStr">
        <is>
          <t>Ngoại thành</t>
        </is>
      </c>
      <c r="D190" t="inlineStr">
        <is>
          <t>Nhanh</t>
        </is>
      </c>
      <c r="E190" t="n">
        <v>18.4</v>
      </c>
      <c r="F190" s="2">
        <f>IFERROR(VLOOKUP(C190&amp;"|"&amp;D190,Bang_gia!$A$2:$B$10,2,FALSE),"Không tìm thấy mã/khu vực/dịch vụ")</f>
        <v/>
      </c>
      <c r="G190" t="inlineStr">
        <is>
          <t>Đang giao</t>
        </is>
      </c>
    </row>
    <row r="191">
      <c r="A191" t="inlineStr">
        <is>
          <t>FM000190</t>
        </is>
      </c>
      <c r="B191" t="inlineStr">
        <is>
          <t>2026-10-19</t>
        </is>
      </c>
      <c r="C191" t="inlineStr">
        <is>
          <t>Ngoại thành</t>
        </is>
      </c>
      <c r="D191" t="inlineStr">
        <is>
          <t>Hỏa tốc</t>
        </is>
      </c>
      <c r="E191" t="n">
        <v>18.8</v>
      </c>
      <c r="F191" s="2">
        <f>IFERROR(VLOOKUP(C191&amp;"|"&amp;D191,Bang_gia!$A$2:$B$10,2,FALSE),"Không tìm thấy mã/khu vực/dịch vụ")</f>
        <v/>
      </c>
      <c r="G191" t="inlineStr">
        <is>
          <t>Chờ xử lý</t>
        </is>
      </c>
    </row>
    <row r="192">
      <c r="A192" t="inlineStr">
        <is>
          <t>FM000191</t>
        </is>
      </c>
      <c r="B192" t="inlineStr">
        <is>
          <t>2026-10-13</t>
        </is>
      </c>
      <c r="C192" t="inlineStr">
        <is>
          <t>Ngoại thành</t>
        </is>
      </c>
      <c r="D192" t="inlineStr">
        <is>
          <t>Nhanh</t>
        </is>
      </c>
      <c r="E192" t="n">
        <v>14.5</v>
      </c>
      <c r="F192" s="2">
        <f>IFERROR(VLOOKUP(C192&amp;"|"&amp;D192,Bang_gia!$A$2:$B$10,2,FALSE),"Không tìm thấy mã/khu vực/dịch vụ")</f>
        <v/>
      </c>
      <c r="G192" t="inlineStr">
        <is>
          <t>Chờ xử lý</t>
        </is>
      </c>
    </row>
    <row r="193">
      <c r="A193" t="inlineStr">
        <is>
          <t>FM000192</t>
        </is>
      </c>
      <c r="B193" t="inlineStr">
        <is>
          <t>2026-10-26</t>
        </is>
      </c>
      <c r="C193" t="inlineStr">
        <is>
          <t>Ngoại thành</t>
        </is>
      </c>
      <c r="D193" t="inlineStr">
        <is>
          <t>Hỏa tốc</t>
        </is>
      </c>
      <c r="E193" t="n">
        <v>2.1</v>
      </c>
      <c r="F193" s="2">
        <f>IFERROR(VLOOKUP(C193&amp;"|"&amp;D193,Bang_gia!$A$2:$B$10,2,FALSE),"Không tìm thấy mã/khu vực/dịch vụ")</f>
        <v/>
      </c>
      <c r="G193" t="inlineStr">
        <is>
          <t>Chờ xử lý</t>
        </is>
      </c>
    </row>
    <row r="194">
      <c r="A194" t="inlineStr">
        <is>
          <t>FM000193</t>
        </is>
      </c>
      <c r="B194" t="inlineStr">
        <is>
          <t>2026-10-14</t>
        </is>
      </c>
      <c r="C194" t="inlineStr">
        <is>
          <t>Liên tỉnh</t>
        </is>
      </c>
      <c r="D194" t="inlineStr">
        <is>
          <t>Nhanh</t>
        </is>
      </c>
      <c r="E194" t="n">
        <v>17.8</v>
      </c>
      <c r="F194" s="2">
        <f>IFERROR(VLOOKUP(C194&amp;"|"&amp;D194,Bang_gia!$A$2:$B$10,2,FALSE),"Không tìm thấy mã/khu vực/dịch vụ")</f>
        <v/>
      </c>
      <c r="G194" t="inlineStr">
        <is>
          <t>Chờ xử lý</t>
        </is>
      </c>
    </row>
    <row r="195">
      <c r="A195" t="inlineStr">
        <is>
          <t>FM000194</t>
        </is>
      </c>
      <c r="B195" t="inlineStr">
        <is>
          <t>2026-10-20</t>
        </is>
      </c>
      <c r="C195" t="inlineStr">
        <is>
          <t>Liên tỉnh</t>
        </is>
      </c>
      <c r="D195" t="inlineStr">
        <is>
          <t>Nhanh</t>
        </is>
      </c>
      <c r="E195" t="n">
        <v>13.4</v>
      </c>
      <c r="F195" s="2">
        <f>IFERROR(VLOOKUP(C195&amp;"|"&amp;D195,Bang_gia!$A$2:$B$10,2,FALSE),"Không tìm thấy mã/khu vực/dịch vụ")</f>
        <v/>
      </c>
      <c r="G195" t="inlineStr">
        <is>
          <t>Đang giao</t>
        </is>
      </c>
    </row>
    <row r="196">
      <c r="A196" t="inlineStr">
        <is>
          <t>FM000195</t>
        </is>
      </c>
      <c r="B196" t="inlineStr">
        <is>
          <t>2026-10-06</t>
        </is>
      </c>
      <c r="C196" t="inlineStr">
        <is>
          <t>Nội thành</t>
        </is>
      </c>
      <c r="D196" t="inlineStr">
        <is>
          <t>Hỏa tốc</t>
        </is>
      </c>
      <c r="E196" t="n">
        <v>7.9</v>
      </c>
      <c r="F196" s="2">
        <f>IFERROR(VLOOKUP(C196&amp;"|"&amp;D196,Bang_gia!$A$2:$B$10,2,FALSE),"Không tìm thấy mã/khu vực/dịch vụ")</f>
        <v/>
      </c>
      <c r="G196" t="inlineStr">
        <is>
          <t>Đã giao</t>
        </is>
      </c>
    </row>
    <row r="197">
      <c r="A197" t="inlineStr">
        <is>
          <t>FM000196</t>
        </is>
      </c>
      <c r="B197" t="inlineStr">
        <is>
          <t>2026-10-18</t>
        </is>
      </c>
      <c r="C197" t="inlineStr">
        <is>
          <t>Nội thành</t>
        </is>
      </c>
      <c r="D197" t="inlineStr">
        <is>
          <t>Nhanh</t>
        </is>
      </c>
      <c r="E197" t="n">
        <v>6.9</v>
      </c>
      <c r="F197" s="2">
        <f>IFERROR(VLOOKUP(C197&amp;"|"&amp;D197,Bang_gia!$A$2:$B$10,2,FALSE),"Không tìm thấy mã/khu vực/dịch vụ")</f>
        <v/>
      </c>
      <c r="G197" t="inlineStr">
        <is>
          <t>Mới tạo</t>
        </is>
      </c>
    </row>
    <row r="198">
      <c r="A198" t="inlineStr">
        <is>
          <t>FM000197</t>
        </is>
      </c>
      <c r="B198" t="inlineStr">
        <is>
          <t>2026-10-14</t>
        </is>
      </c>
      <c r="C198" t="inlineStr">
        <is>
          <t>Ngoại thành</t>
        </is>
      </c>
      <c r="D198" t="inlineStr">
        <is>
          <t>Tiêu chuẩn</t>
        </is>
      </c>
      <c r="E198" t="n">
        <v>8</v>
      </c>
      <c r="F198" s="2">
        <f>IFERROR(VLOOKUP(C198&amp;"|"&amp;D198,Bang_gia!$A$2:$B$10,2,FALSE),"Không tìm thấy mã/khu vực/dịch vụ")</f>
        <v/>
      </c>
      <c r="G198" t="inlineStr">
        <is>
          <t>Đã giao</t>
        </is>
      </c>
    </row>
    <row r="199">
      <c r="A199" t="inlineStr">
        <is>
          <t>FM000198</t>
        </is>
      </c>
      <c r="B199" t="inlineStr">
        <is>
          <t>2026-10-02</t>
        </is>
      </c>
      <c r="C199" t="inlineStr">
        <is>
          <t>Ngoại thành</t>
        </is>
      </c>
      <c r="D199" t="inlineStr">
        <is>
          <t>Nhanh</t>
        </is>
      </c>
      <c r="E199" t="n">
        <v>9.800000000000001</v>
      </c>
      <c r="F199" s="2">
        <f>IFERROR(VLOOKUP(C199&amp;"|"&amp;D199,Bang_gia!$A$2:$B$10,2,FALSE),"Không tìm thấy mã/khu vực/dịch vụ")</f>
        <v/>
      </c>
      <c r="G199" t="inlineStr">
        <is>
          <t>Đang giao</t>
        </is>
      </c>
    </row>
    <row r="200">
      <c r="A200" t="inlineStr">
        <is>
          <t>FM000199</t>
        </is>
      </c>
      <c r="B200" t="inlineStr">
        <is>
          <t>2026-10-12</t>
        </is>
      </c>
      <c r="C200" t="inlineStr">
        <is>
          <t>Liên tỉnh</t>
        </is>
      </c>
      <c r="D200" t="inlineStr">
        <is>
          <t>Tiêu chuẩn</t>
        </is>
      </c>
      <c r="E200" t="n">
        <v>19.2</v>
      </c>
      <c r="F200" s="2">
        <f>IFERROR(VLOOKUP(C200&amp;"|"&amp;D200,Bang_gia!$A$2:$B$10,2,FALSE),"Không tìm thấy mã/khu vực/dịch vụ")</f>
        <v/>
      </c>
      <c r="G200" t="inlineStr">
        <is>
          <t>Đang giao</t>
        </is>
      </c>
    </row>
    <row r="201">
      <c r="A201" t="inlineStr">
        <is>
          <t>FM000200</t>
        </is>
      </c>
      <c r="B201" t="inlineStr">
        <is>
          <t>2026-10-02</t>
        </is>
      </c>
      <c r="C201" t="inlineStr">
        <is>
          <t>Nội thành</t>
        </is>
      </c>
      <c r="D201" t="inlineStr">
        <is>
          <t>Tiêu chuẩn</t>
        </is>
      </c>
      <c r="E201" t="n">
        <v>19</v>
      </c>
      <c r="F201" s="2">
        <f>IFERROR(VLOOKUP(C201&amp;"|"&amp;D201,Bang_gia!$A$2:$B$10,2,FALSE),"Không tìm thấy mã/khu vực/dịch vụ")</f>
        <v/>
      </c>
      <c r="G201" t="inlineStr">
        <is>
          <t>Chờ xử lý</t>
        </is>
      </c>
    </row>
    <row r="202">
      <c r="A202" t="inlineStr">
        <is>
          <t>FM000201</t>
        </is>
      </c>
      <c r="B202" t="inlineStr">
        <is>
          <t>2026-10-08</t>
        </is>
      </c>
      <c r="C202" t="inlineStr">
        <is>
          <t>Liên tỉnh</t>
        </is>
      </c>
      <c r="D202" t="inlineStr">
        <is>
          <t>Hỏa tốc</t>
        </is>
      </c>
      <c r="E202" t="n">
        <v>11.4</v>
      </c>
      <c r="F202" s="2">
        <f>IFERROR(VLOOKUP(C202&amp;"|"&amp;D202,Bang_gia!$A$2:$B$10,2,FALSE),"Không tìm thấy mã/khu vực/dịch vụ")</f>
        <v/>
      </c>
      <c r="G202" t="inlineStr">
        <is>
          <t>Mới tạo</t>
        </is>
      </c>
    </row>
    <row r="203">
      <c r="A203" t="inlineStr">
        <is>
          <t>FM000202</t>
        </is>
      </c>
      <c r="B203" t="inlineStr">
        <is>
          <t>2026-10-09</t>
        </is>
      </c>
      <c r="C203" t="inlineStr">
        <is>
          <t>Nội thành</t>
        </is>
      </c>
      <c r="D203" t="inlineStr">
        <is>
          <t>Hỏa tốc</t>
        </is>
      </c>
      <c r="E203" t="n">
        <v>6</v>
      </c>
      <c r="F203" s="2">
        <f>IFERROR(VLOOKUP(C203&amp;"|"&amp;D203,Bang_gia!$A$2:$B$10,2,FALSE),"Không tìm thấy mã/khu vực/dịch vụ")</f>
        <v/>
      </c>
      <c r="G203" t="inlineStr">
        <is>
          <t>Đang giao</t>
        </is>
      </c>
    </row>
    <row r="204">
      <c r="A204" t="inlineStr">
        <is>
          <t>FM000203</t>
        </is>
      </c>
      <c r="B204" t="inlineStr">
        <is>
          <t>2026-10-03</t>
        </is>
      </c>
      <c r="C204" t="inlineStr">
        <is>
          <t>Liên tỉnh</t>
        </is>
      </c>
      <c r="D204" t="inlineStr">
        <is>
          <t>Nhanh</t>
        </is>
      </c>
      <c r="E204" t="n">
        <v>7.4</v>
      </c>
      <c r="F204" s="2">
        <f>IFERROR(VLOOKUP(C204&amp;"|"&amp;D204,Bang_gia!$A$2:$B$10,2,FALSE),"Không tìm thấy mã/khu vực/dịch vụ")</f>
        <v/>
      </c>
      <c r="G204" t="inlineStr">
        <is>
          <t>Mới tạo</t>
        </is>
      </c>
    </row>
    <row r="205">
      <c r="A205" t="inlineStr">
        <is>
          <t>FM000204</t>
        </is>
      </c>
      <c r="B205" t="inlineStr">
        <is>
          <t>2026-10-17</t>
        </is>
      </c>
      <c r="C205" t="inlineStr">
        <is>
          <t>Liên tỉnh</t>
        </is>
      </c>
      <c r="D205" t="inlineStr">
        <is>
          <t>Hỏa tốc</t>
        </is>
      </c>
      <c r="E205" t="n">
        <v>10.7</v>
      </c>
      <c r="F205" s="2">
        <f>IFERROR(VLOOKUP(C205&amp;"|"&amp;D205,Bang_gia!$A$2:$B$10,2,FALSE),"Không tìm thấy mã/khu vực/dịch vụ")</f>
        <v/>
      </c>
      <c r="G205" t="inlineStr">
        <is>
          <t>Mới tạo</t>
        </is>
      </c>
    </row>
    <row r="206">
      <c r="A206" t="inlineStr">
        <is>
          <t>FM000205</t>
        </is>
      </c>
      <c r="B206" t="inlineStr">
        <is>
          <t>2026-10-22</t>
        </is>
      </c>
      <c r="C206" t="inlineStr">
        <is>
          <t>Liên tỉnh</t>
        </is>
      </c>
      <c r="D206" t="inlineStr">
        <is>
          <t>Hỏa tốc</t>
        </is>
      </c>
      <c r="E206" t="n">
        <v>16.6</v>
      </c>
      <c r="F206" s="2">
        <f>IFERROR(VLOOKUP(C206&amp;"|"&amp;D206,Bang_gia!$A$2:$B$10,2,FALSE),"Không tìm thấy mã/khu vực/dịch vụ")</f>
        <v/>
      </c>
      <c r="G206" t="inlineStr">
        <is>
          <t>Mới tạo</t>
        </is>
      </c>
    </row>
    <row r="207">
      <c r="A207" t="inlineStr">
        <is>
          <t>FM000206</t>
        </is>
      </c>
      <c r="B207" t="inlineStr">
        <is>
          <t>2026-10-12</t>
        </is>
      </c>
      <c r="C207" t="inlineStr">
        <is>
          <t>Liên tỉnh</t>
        </is>
      </c>
      <c r="D207" t="inlineStr">
        <is>
          <t>Tiêu chuẩn</t>
        </is>
      </c>
      <c r="E207" t="n">
        <v>5.9</v>
      </c>
      <c r="F207" s="2">
        <f>IFERROR(VLOOKUP(C207&amp;"|"&amp;D207,Bang_gia!$A$2:$B$10,2,FALSE),"Không tìm thấy mã/khu vực/dịch vụ")</f>
        <v/>
      </c>
      <c r="G207" t="inlineStr">
        <is>
          <t>Đã giao</t>
        </is>
      </c>
    </row>
    <row r="208">
      <c r="A208" t="inlineStr">
        <is>
          <t>FM000207</t>
        </is>
      </c>
      <c r="B208" t="inlineStr">
        <is>
          <t>2026-10-19</t>
        </is>
      </c>
      <c r="C208" t="inlineStr">
        <is>
          <t>Nội thành</t>
        </is>
      </c>
      <c r="D208" t="inlineStr">
        <is>
          <t>Hỏa tốc</t>
        </is>
      </c>
      <c r="E208" t="n">
        <v>1.4</v>
      </c>
      <c r="F208" s="2">
        <f>IFERROR(VLOOKUP(C208&amp;"|"&amp;D208,Bang_gia!$A$2:$B$10,2,FALSE),"Không tìm thấy mã/khu vực/dịch vụ")</f>
        <v/>
      </c>
      <c r="G208" t="inlineStr">
        <is>
          <t>Đang giao</t>
        </is>
      </c>
    </row>
    <row r="209">
      <c r="A209" t="inlineStr">
        <is>
          <t>FM000208</t>
        </is>
      </c>
      <c r="B209" t="inlineStr">
        <is>
          <t>2026-10-01</t>
        </is>
      </c>
      <c r="C209" t="inlineStr">
        <is>
          <t>Ngoại thành</t>
        </is>
      </c>
      <c r="D209" t="inlineStr">
        <is>
          <t>Tiêu chuẩn</t>
        </is>
      </c>
      <c r="E209" t="n">
        <v>17.7</v>
      </c>
      <c r="F209" s="2">
        <f>IFERROR(VLOOKUP(C209&amp;"|"&amp;D209,Bang_gia!$A$2:$B$10,2,FALSE),"Không tìm thấy mã/khu vực/dịch vụ")</f>
        <v/>
      </c>
      <c r="G209" t="inlineStr">
        <is>
          <t>Chờ xử lý</t>
        </is>
      </c>
    </row>
    <row r="210">
      <c r="A210" t="inlineStr">
        <is>
          <t>FM000209</t>
        </is>
      </c>
      <c r="B210" t="inlineStr">
        <is>
          <t>2026-10-08</t>
        </is>
      </c>
      <c r="C210" t="inlineStr">
        <is>
          <t>Ngoại thành</t>
        </is>
      </c>
      <c r="D210" t="inlineStr">
        <is>
          <t>Nhanh</t>
        </is>
      </c>
      <c r="E210" t="n">
        <v>13.4</v>
      </c>
      <c r="F210" s="2">
        <f>IFERROR(VLOOKUP(C210&amp;"|"&amp;D210,Bang_gia!$A$2:$B$10,2,FALSE),"Không tìm thấy mã/khu vực/dịch vụ")</f>
        <v/>
      </c>
      <c r="G210" t="inlineStr">
        <is>
          <t>Đã giao</t>
        </is>
      </c>
    </row>
    <row r="211">
      <c r="A211" t="inlineStr">
        <is>
          <t>FM000210</t>
        </is>
      </c>
      <c r="B211" t="inlineStr">
        <is>
          <t>2026-10-15</t>
        </is>
      </c>
      <c r="C211" t="inlineStr">
        <is>
          <t>Liên tỉnh</t>
        </is>
      </c>
      <c r="D211" t="inlineStr">
        <is>
          <t>Hỏa tốc</t>
        </is>
      </c>
      <c r="E211" t="n">
        <v>6.8</v>
      </c>
      <c r="F211" s="2">
        <f>IFERROR(VLOOKUP(C211&amp;"|"&amp;D211,Bang_gia!$A$2:$B$10,2,FALSE),"Không tìm thấy mã/khu vực/dịch vụ")</f>
        <v/>
      </c>
      <c r="G211" t="inlineStr">
        <is>
          <t>Chờ xử lý</t>
        </is>
      </c>
    </row>
    <row r="212">
      <c r="A212" t="inlineStr">
        <is>
          <t>FM000211</t>
        </is>
      </c>
      <c r="B212" t="inlineStr">
        <is>
          <t>2026-10-14</t>
        </is>
      </c>
      <c r="C212" t="inlineStr">
        <is>
          <t>Nội thành</t>
        </is>
      </c>
      <c r="D212" t="inlineStr">
        <is>
          <t>Nhanh</t>
        </is>
      </c>
      <c r="E212" t="n">
        <v>1.6</v>
      </c>
      <c r="F212" s="2">
        <f>IFERROR(VLOOKUP(C212&amp;"|"&amp;D212,Bang_gia!$A$2:$B$10,2,FALSE),"Không tìm thấy mã/khu vực/dịch vụ")</f>
        <v/>
      </c>
      <c r="G212" t="inlineStr">
        <is>
          <t>Đang giao</t>
        </is>
      </c>
    </row>
    <row r="213">
      <c r="A213" t="inlineStr">
        <is>
          <t>FM000212</t>
        </is>
      </c>
      <c r="B213" t="inlineStr">
        <is>
          <t>2026-10-24</t>
        </is>
      </c>
      <c r="C213" t="inlineStr">
        <is>
          <t>Ngoại thành</t>
        </is>
      </c>
      <c r="D213" t="inlineStr">
        <is>
          <t>Tiêu chuẩn</t>
        </is>
      </c>
      <c r="E213" t="n">
        <v>10.7</v>
      </c>
      <c r="F213" s="2">
        <f>IFERROR(VLOOKUP(C213&amp;"|"&amp;D213,Bang_gia!$A$2:$B$10,2,FALSE),"Không tìm thấy mã/khu vực/dịch vụ")</f>
        <v/>
      </c>
      <c r="G213" t="inlineStr">
        <is>
          <t>Mới tạo</t>
        </is>
      </c>
    </row>
    <row r="214">
      <c r="A214" t="inlineStr">
        <is>
          <t>FM000213</t>
        </is>
      </c>
      <c r="B214" t="inlineStr">
        <is>
          <t>2026-10-08</t>
        </is>
      </c>
      <c r="C214" t="inlineStr">
        <is>
          <t>Ngoại thành</t>
        </is>
      </c>
      <c r="D214" t="inlineStr">
        <is>
          <t>Nhanh</t>
        </is>
      </c>
      <c r="E214" t="n">
        <v>6.3</v>
      </c>
      <c r="F214" s="2">
        <f>IFERROR(VLOOKUP(C214&amp;"|"&amp;D214,Bang_gia!$A$2:$B$10,2,FALSE),"Không tìm thấy mã/khu vực/dịch vụ")</f>
        <v/>
      </c>
      <c r="G214" t="inlineStr">
        <is>
          <t>Đã giao</t>
        </is>
      </c>
    </row>
    <row r="215">
      <c r="A215" t="inlineStr">
        <is>
          <t>FM000214</t>
        </is>
      </c>
      <c r="B215" t="inlineStr">
        <is>
          <t>2026-10-02</t>
        </is>
      </c>
      <c r="C215" t="inlineStr">
        <is>
          <t>Ngoại thành</t>
        </is>
      </c>
      <c r="D215" t="inlineStr">
        <is>
          <t>Nhanh</t>
        </is>
      </c>
      <c r="E215" t="n">
        <v>0.2</v>
      </c>
      <c r="F215" s="2">
        <f>IFERROR(VLOOKUP(C215&amp;"|"&amp;D215,Bang_gia!$A$2:$B$10,2,FALSE),"Không tìm thấy mã/khu vực/dịch vụ")</f>
        <v/>
      </c>
      <c r="G215" t="inlineStr">
        <is>
          <t>Chờ xử lý</t>
        </is>
      </c>
    </row>
    <row r="216">
      <c r="A216" t="inlineStr">
        <is>
          <t>FM000215</t>
        </is>
      </c>
      <c r="B216" t="inlineStr">
        <is>
          <t>2026-10-07</t>
        </is>
      </c>
      <c r="C216" t="inlineStr">
        <is>
          <t>Nội thành</t>
        </is>
      </c>
      <c r="D216" t="inlineStr">
        <is>
          <t>Hỏa tốc</t>
        </is>
      </c>
      <c r="E216" t="n">
        <v>4.7</v>
      </c>
      <c r="F216" s="2">
        <f>IFERROR(VLOOKUP(C216&amp;"|"&amp;D216,Bang_gia!$A$2:$B$10,2,FALSE),"Không tìm thấy mã/khu vực/dịch vụ")</f>
        <v/>
      </c>
      <c r="G216" t="inlineStr">
        <is>
          <t>Mới tạo</t>
        </is>
      </c>
    </row>
    <row r="217">
      <c r="A217" t="inlineStr">
        <is>
          <t>FM000216</t>
        </is>
      </c>
      <c r="B217" t="inlineStr">
        <is>
          <t>2026-10-20</t>
        </is>
      </c>
      <c r="C217" t="inlineStr">
        <is>
          <t>Nội thành</t>
        </is>
      </c>
      <c r="D217" t="inlineStr">
        <is>
          <t>Nhanh</t>
        </is>
      </c>
      <c r="E217" t="n">
        <v>12.4</v>
      </c>
      <c r="F217" s="2">
        <f>IFERROR(VLOOKUP(C217&amp;"|"&amp;D217,Bang_gia!$A$2:$B$10,2,FALSE),"Không tìm thấy mã/khu vực/dịch vụ")</f>
        <v/>
      </c>
      <c r="G217" t="inlineStr">
        <is>
          <t>Đang giao</t>
        </is>
      </c>
    </row>
    <row r="218">
      <c r="A218" t="inlineStr">
        <is>
          <t>FM000217</t>
        </is>
      </c>
      <c r="B218" t="inlineStr">
        <is>
          <t>2026-10-16</t>
        </is>
      </c>
      <c r="C218" t="inlineStr">
        <is>
          <t>Nội thành</t>
        </is>
      </c>
      <c r="D218" t="inlineStr">
        <is>
          <t>Nhanh</t>
        </is>
      </c>
      <c r="E218" t="n">
        <v>17.3</v>
      </c>
      <c r="F218" s="2">
        <f>IFERROR(VLOOKUP(C218&amp;"|"&amp;D218,Bang_gia!$A$2:$B$10,2,FALSE),"Không tìm thấy mã/khu vực/dịch vụ")</f>
        <v/>
      </c>
      <c r="G218" t="inlineStr">
        <is>
          <t>Mới tạo</t>
        </is>
      </c>
    </row>
    <row r="219">
      <c r="A219" t="inlineStr">
        <is>
          <t>FM000218</t>
        </is>
      </c>
      <c r="B219" t="inlineStr">
        <is>
          <t>2026-10-09</t>
        </is>
      </c>
      <c r="C219" t="inlineStr">
        <is>
          <t>Nội thành</t>
        </is>
      </c>
      <c r="D219" t="inlineStr">
        <is>
          <t>Hỏa tốc</t>
        </is>
      </c>
      <c r="E219" t="n">
        <v>5.9</v>
      </c>
      <c r="F219" s="2">
        <f>IFERROR(VLOOKUP(C219&amp;"|"&amp;D219,Bang_gia!$A$2:$B$10,2,FALSE),"Không tìm thấy mã/khu vực/dịch vụ")</f>
        <v/>
      </c>
      <c r="G219" t="inlineStr">
        <is>
          <t>Đã giao</t>
        </is>
      </c>
    </row>
    <row r="220">
      <c r="A220" t="inlineStr">
        <is>
          <t>FM000219</t>
        </is>
      </c>
      <c r="B220" t="inlineStr">
        <is>
          <t>2026-10-12</t>
        </is>
      </c>
      <c r="C220" t="inlineStr">
        <is>
          <t>Nội thành</t>
        </is>
      </c>
      <c r="D220" t="inlineStr">
        <is>
          <t>Nhanh</t>
        </is>
      </c>
      <c r="E220" t="n">
        <v>10.2</v>
      </c>
      <c r="F220" s="2">
        <f>IFERROR(VLOOKUP(C220&amp;"|"&amp;D220,Bang_gia!$A$2:$B$10,2,FALSE),"Không tìm thấy mã/khu vực/dịch vụ")</f>
        <v/>
      </c>
      <c r="G220" t="inlineStr">
        <is>
          <t>Đã giao</t>
        </is>
      </c>
    </row>
    <row r="221">
      <c r="A221" t="inlineStr">
        <is>
          <t>FM000220</t>
        </is>
      </c>
      <c r="B221" t="inlineStr">
        <is>
          <t>2026-10-08</t>
        </is>
      </c>
      <c r="C221" t="inlineStr">
        <is>
          <t>Ngoại thành</t>
        </is>
      </c>
      <c r="D221" t="inlineStr">
        <is>
          <t>Hỏa tốc</t>
        </is>
      </c>
      <c r="E221" t="n">
        <v>5</v>
      </c>
      <c r="F221" s="2">
        <f>IFERROR(VLOOKUP(C221&amp;"|"&amp;D221,Bang_gia!$A$2:$B$10,2,FALSE),"Không tìm thấy mã/khu vực/dịch vụ")</f>
        <v/>
      </c>
      <c r="G221" t="inlineStr">
        <is>
          <t>Mới tạo</t>
        </is>
      </c>
    </row>
    <row r="222">
      <c r="A222" t="inlineStr">
        <is>
          <t>FM000221</t>
        </is>
      </c>
      <c r="B222" t="inlineStr">
        <is>
          <t>2026-10-10</t>
        </is>
      </c>
      <c r="C222" t="inlineStr">
        <is>
          <t>Nội thành</t>
        </is>
      </c>
      <c r="D222" t="inlineStr">
        <is>
          <t>Nhanh</t>
        </is>
      </c>
      <c r="E222" t="n">
        <v>1.2</v>
      </c>
      <c r="F222" s="2">
        <f>IFERROR(VLOOKUP(C222&amp;"|"&amp;D222,Bang_gia!$A$2:$B$10,2,FALSE),"Không tìm thấy mã/khu vực/dịch vụ")</f>
        <v/>
      </c>
      <c r="G222" t="inlineStr">
        <is>
          <t>Mới tạo</t>
        </is>
      </c>
    </row>
    <row r="223">
      <c r="A223" t="inlineStr">
        <is>
          <t>FM000222</t>
        </is>
      </c>
      <c r="B223" t="inlineStr">
        <is>
          <t>2026-10-09</t>
        </is>
      </c>
      <c r="C223" t="inlineStr">
        <is>
          <t>Ngoại thành</t>
        </is>
      </c>
      <c r="D223" t="inlineStr">
        <is>
          <t>Hỏa tốc</t>
        </is>
      </c>
      <c r="E223" t="n">
        <v>17.4</v>
      </c>
      <c r="F223" s="2">
        <f>IFERROR(VLOOKUP(C223&amp;"|"&amp;D223,Bang_gia!$A$2:$B$10,2,FALSE),"Không tìm thấy mã/khu vực/dịch vụ")</f>
        <v/>
      </c>
      <c r="G223" t="inlineStr">
        <is>
          <t>Mới tạo</t>
        </is>
      </c>
    </row>
    <row r="224">
      <c r="A224" t="inlineStr">
        <is>
          <t>FM000223</t>
        </is>
      </c>
      <c r="B224" t="inlineStr">
        <is>
          <t>2026-10-25</t>
        </is>
      </c>
      <c r="C224" t="inlineStr">
        <is>
          <t>Nội thành</t>
        </is>
      </c>
      <c r="D224" t="inlineStr">
        <is>
          <t>Hỏa tốc</t>
        </is>
      </c>
      <c r="E224" t="n">
        <v>6.4</v>
      </c>
      <c r="F224" s="2">
        <f>IFERROR(VLOOKUP(C224&amp;"|"&amp;D224,Bang_gia!$A$2:$B$10,2,FALSE),"Không tìm thấy mã/khu vực/dịch vụ")</f>
        <v/>
      </c>
      <c r="G224" t="inlineStr">
        <is>
          <t>Chờ xử lý</t>
        </is>
      </c>
    </row>
    <row r="225">
      <c r="A225" t="inlineStr">
        <is>
          <t>FM000224</t>
        </is>
      </c>
      <c r="B225" t="inlineStr">
        <is>
          <t>2026-10-12</t>
        </is>
      </c>
      <c r="C225" t="inlineStr">
        <is>
          <t>Liên tỉnh</t>
        </is>
      </c>
      <c r="D225" t="inlineStr">
        <is>
          <t>Hỏa tốc</t>
        </is>
      </c>
      <c r="E225" t="n">
        <v>15.9</v>
      </c>
      <c r="F225" s="2">
        <f>IFERROR(VLOOKUP(C225&amp;"|"&amp;D225,Bang_gia!$A$2:$B$10,2,FALSE),"Không tìm thấy mã/khu vực/dịch vụ")</f>
        <v/>
      </c>
      <c r="G225" t="inlineStr">
        <is>
          <t>Chờ xử lý</t>
        </is>
      </c>
    </row>
    <row r="226">
      <c r="A226" t="inlineStr">
        <is>
          <t>FM000225</t>
        </is>
      </c>
      <c r="B226" t="inlineStr">
        <is>
          <t>2026-10-16</t>
        </is>
      </c>
      <c r="C226" t="inlineStr">
        <is>
          <t>Ngoại thành</t>
        </is>
      </c>
      <c r="D226" t="inlineStr">
        <is>
          <t>Hỏa tốc</t>
        </is>
      </c>
      <c r="E226" t="n">
        <v>10.3</v>
      </c>
      <c r="F226" s="2">
        <f>IFERROR(VLOOKUP(C226&amp;"|"&amp;D226,Bang_gia!$A$2:$B$10,2,FALSE),"Không tìm thấy mã/khu vực/dịch vụ")</f>
        <v/>
      </c>
      <c r="G226" t="inlineStr">
        <is>
          <t>Chờ xử lý</t>
        </is>
      </c>
    </row>
    <row r="227">
      <c r="A227" t="inlineStr">
        <is>
          <t>FM000226</t>
        </is>
      </c>
      <c r="B227" t="inlineStr">
        <is>
          <t>2026-10-11</t>
        </is>
      </c>
      <c r="C227" t="inlineStr">
        <is>
          <t>Ngoại thành</t>
        </is>
      </c>
      <c r="D227" t="inlineStr">
        <is>
          <t>Nhanh</t>
        </is>
      </c>
      <c r="E227" t="n">
        <v>8.5</v>
      </c>
      <c r="F227" s="2">
        <f>IFERROR(VLOOKUP(C227&amp;"|"&amp;D227,Bang_gia!$A$2:$B$10,2,FALSE),"Không tìm thấy mã/khu vực/dịch vụ")</f>
        <v/>
      </c>
      <c r="G227" t="inlineStr">
        <is>
          <t>Đã giao</t>
        </is>
      </c>
    </row>
    <row r="228">
      <c r="A228" t="inlineStr">
        <is>
          <t>FM000227</t>
        </is>
      </c>
      <c r="B228" t="inlineStr">
        <is>
          <t>2026-10-01</t>
        </is>
      </c>
      <c r="C228" t="inlineStr">
        <is>
          <t>Ngoại thành</t>
        </is>
      </c>
      <c r="D228" t="inlineStr">
        <is>
          <t>Nhanh</t>
        </is>
      </c>
      <c r="E228" t="n">
        <v>14.9</v>
      </c>
      <c r="F228" s="2">
        <f>IFERROR(VLOOKUP(C228&amp;"|"&amp;D228,Bang_gia!$A$2:$B$10,2,FALSE),"Không tìm thấy mã/khu vực/dịch vụ")</f>
        <v/>
      </c>
      <c r="G228" t="inlineStr">
        <is>
          <t>Mới tạo</t>
        </is>
      </c>
    </row>
    <row r="229">
      <c r="A229" t="inlineStr">
        <is>
          <t>FM000228</t>
        </is>
      </c>
      <c r="B229" t="inlineStr">
        <is>
          <t>2026-10-21</t>
        </is>
      </c>
      <c r="C229" t="inlineStr">
        <is>
          <t>Ngoại thành</t>
        </is>
      </c>
      <c r="D229" t="inlineStr">
        <is>
          <t>Tiêu chuẩn</t>
        </is>
      </c>
      <c r="E229" t="n">
        <v>10.8</v>
      </c>
      <c r="F229" s="2">
        <f>IFERROR(VLOOKUP(C229&amp;"|"&amp;D229,Bang_gia!$A$2:$B$10,2,FALSE),"Không tìm thấy mã/khu vực/dịch vụ")</f>
        <v/>
      </c>
      <c r="G229" t="inlineStr">
        <is>
          <t>Mới tạo</t>
        </is>
      </c>
    </row>
    <row r="230">
      <c r="A230" t="inlineStr">
        <is>
          <t>FM000229</t>
        </is>
      </c>
      <c r="B230" t="inlineStr">
        <is>
          <t>2026-10-01</t>
        </is>
      </c>
      <c r="C230" t="inlineStr">
        <is>
          <t>Nội thành</t>
        </is>
      </c>
      <c r="D230" t="inlineStr">
        <is>
          <t>Tiêu chuẩn</t>
        </is>
      </c>
      <c r="E230" t="n">
        <v>2.3</v>
      </c>
      <c r="F230" s="2">
        <f>IFERROR(VLOOKUP(C230&amp;"|"&amp;D230,Bang_gia!$A$2:$B$10,2,FALSE),"Không tìm thấy mã/khu vực/dịch vụ")</f>
        <v/>
      </c>
      <c r="G230" t="inlineStr">
        <is>
          <t>Đang giao</t>
        </is>
      </c>
    </row>
    <row r="231">
      <c r="A231" t="inlineStr">
        <is>
          <t>FM000230</t>
        </is>
      </c>
      <c r="B231" t="inlineStr">
        <is>
          <t>2026-10-15</t>
        </is>
      </c>
      <c r="C231" t="inlineStr">
        <is>
          <t>Liên tỉnh</t>
        </is>
      </c>
      <c r="D231" t="inlineStr">
        <is>
          <t>Nhanh</t>
        </is>
      </c>
      <c r="E231" t="n">
        <v>6</v>
      </c>
      <c r="F231" s="2">
        <f>IFERROR(VLOOKUP(C231&amp;"|"&amp;D231,Bang_gia!$A$2:$B$10,2,FALSE),"Không tìm thấy mã/khu vực/dịch vụ")</f>
        <v/>
      </c>
      <c r="G231" t="inlineStr">
        <is>
          <t>Mới tạo</t>
        </is>
      </c>
    </row>
    <row r="232">
      <c r="A232" t="inlineStr">
        <is>
          <t>FM000231</t>
        </is>
      </c>
      <c r="B232" t="inlineStr">
        <is>
          <t>2026-10-11</t>
        </is>
      </c>
      <c r="C232" t="inlineStr">
        <is>
          <t>Ngoại thành</t>
        </is>
      </c>
      <c r="D232" t="inlineStr">
        <is>
          <t>Hỏa tốc</t>
        </is>
      </c>
      <c r="E232" t="n">
        <v>6.2</v>
      </c>
      <c r="F232" s="2">
        <f>IFERROR(VLOOKUP(C232&amp;"|"&amp;D232,Bang_gia!$A$2:$B$10,2,FALSE),"Không tìm thấy mã/khu vực/dịch vụ")</f>
        <v/>
      </c>
      <c r="G232" t="inlineStr">
        <is>
          <t>Đang giao</t>
        </is>
      </c>
    </row>
    <row r="233">
      <c r="A233" t="inlineStr">
        <is>
          <t>FM000232</t>
        </is>
      </c>
      <c r="B233" t="inlineStr">
        <is>
          <t>2026-10-12</t>
        </is>
      </c>
      <c r="C233" t="inlineStr">
        <is>
          <t>Liên tỉnh</t>
        </is>
      </c>
      <c r="D233" t="inlineStr">
        <is>
          <t>Nhanh</t>
        </is>
      </c>
      <c r="E233" t="n">
        <v>16.9</v>
      </c>
      <c r="F233" s="2">
        <f>IFERROR(VLOOKUP(C233&amp;"|"&amp;D233,Bang_gia!$A$2:$B$10,2,FALSE),"Không tìm thấy mã/khu vực/dịch vụ")</f>
        <v/>
      </c>
      <c r="G233" t="inlineStr">
        <is>
          <t>Đã giao</t>
        </is>
      </c>
    </row>
    <row r="234">
      <c r="A234" t="inlineStr">
        <is>
          <t>FM000233</t>
        </is>
      </c>
      <c r="B234" t="inlineStr">
        <is>
          <t>2026-10-25</t>
        </is>
      </c>
      <c r="C234" t="inlineStr">
        <is>
          <t>Nội thành</t>
        </is>
      </c>
      <c r="D234" t="inlineStr">
        <is>
          <t>Nhanh</t>
        </is>
      </c>
      <c r="E234" t="n">
        <v>6.1</v>
      </c>
      <c r="F234" s="2">
        <f>IFERROR(VLOOKUP(C234&amp;"|"&amp;D234,Bang_gia!$A$2:$B$10,2,FALSE),"Không tìm thấy mã/khu vực/dịch vụ")</f>
        <v/>
      </c>
      <c r="G234" t="inlineStr">
        <is>
          <t>Mới tạo</t>
        </is>
      </c>
    </row>
    <row r="235">
      <c r="A235" t="inlineStr">
        <is>
          <t>FM000234</t>
        </is>
      </c>
      <c r="B235" t="inlineStr">
        <is>
          <t>2026-10-08</t>
        </is>
      </c>
      <c r="C235" t="inlineStr">
        <is>
          <t>Nội thành</t>
        </is>
      </c>
      <c r="D235" t="inlineStr">
        <is>
          <t>Hỏa tốc</t>
        </is>
      </c>
      <c r="E235" t="n">
        <v>13.9</v>
      </c>
      <c r="F235" s="2">
        <f>IFERROR(VLOOKUP(C235&amp;"|"&amp;D235,Bang_gia!$A$2:$B$10,2,FALSE),"Không tìm thấy mã/khu vực/dịch vụ")</f>
        <v/>
      </c>
      <c r="G235" t="inlineStr">
        <is>
          <t>Đang giao</t>
        </is>
      </c>
    </row>
    <row r="236">
      <c r="A236" t="inlineStr">
        <is>
          <t>FM000235</t>
        </is>
      </c>
      <c r="B236" t="inlineStr">
        <is>
          <t>2026-10-05</t>
        </is>
      </c>
      <c r="C236" t="inlineStr">
        <is>
          <t>Liên tỉnh</t>
        </is>
      </c>
      <c r="D236" t="inlineStr">
        <is>
          <t>Tiêu chuẩn</t>
        </is>
      </c>
      <c r="E236" t="n">
        <v>17.5</v>
      </c>
      <c r="F236" s="2">
        <f>IFERROR(VLOOKUP(C236&amp;"|"&amp;D236,Bang_gia!$A$2:$B$10,2,FALSE),"Không tìm thấy mã/khu vực/dịch vụ")</f>
        <v/>
      </c>
      <c r="G236" t="inlineStr">
        <is>
          <t>Mới tạo</t>
        </is>
      </c>
    </row>
    <row r="237">
      <c r="A237" t="inlineStr">
        <is>
          <t>FM000236</t>
        </is>
      </c>
      <c r="B237" t="inlineStr">
        <is>
          <t>2026-10-15</t>
        </is>
      </c>
      <c r="C237" t="inlineStr">
        <is>
          <t>Nội thành</t>
        </is>
      </c>
      <c r="D237" t="inlineStr">
        <is>
          <t>Nhanh</t>
        </is>
      </c>
      <c r="E237" t="n">
        <v>9.1</v>
      </c>
      <c r="F237" s="2">
        <f>IFERROR(VLOOKUP(C237&amp;"|"&amp;D237,Bang_gia!$A$2:$B$10,2,FALSE),"Không tìm thấy mã/khu vực/dịch vụ")</f>
        <v/>
      </c>
      <c r="G237" t="inlineStr">
        <is>
          <t>Đang giao</t>
        </is>
      </c>
    </row>
    <row r="238">
      <c r="A238" t="inlineStr">
        <is>
          <t>FM000237</t>
        </is>
      </c>
      <c r="B238" t="inlineStr">
        <is>
          <t>2026-10-22</t>
        </is>
      </c>
      <c r="C238" t="inlineStr">
        <is>
          <t>Liên tỉnh</t>
        </is>
      </c>
      <c r="D238" t="inlineStr">
        <is>
          <t>Tiêu chuẩn</t>
        </is>
      </c>
      <c r="E238" t="n">
        <v>7.7</v>
      </c>
      <c r="F238" s="2">
        <f>IFERROR(VLOOKUP(C238&amp;"|"&amp;D238,Bang_gia!$A$2:$B$10,2,FALSE),"Không tìm thấy mã/khu vực/dịch vụ")</f>
        <v/>
      </c>
      <c r="G238" t="inlineStr">
        <is>
          <t>Chờ xử lý</t>
        </is>
      </c>
    </row>
    <row r="239">
      <c r="A239" t="inlineStr">
        <is>
          <t>FM000238</t>
        </is>
      </c>
      <c r="B239" t="inlineStr">
        <is>
          <t>2026-10-23</t>
        </is>
      </c>
      <c r="C239" t="inlineStr">
        <is>
          <t>Liên tỉnh</t>
        </is>
      </c>
      <c r="D239" t="inlineStr">
        <is>
          <t>Nhanh</t>
        </is>
      </c>
      <c r="E239" t="n">
        <v>0.8</v>
      </c>
      <c r="F239" s="2">
        <f>IFERROR(VLOOKUP(C239&amp;"|"&amp;D239,Bang_gia!$A$2:$B$10,2,FALSE),"Không tìm thấy mã/khu vực/dịch vụ")</f>
        <v/>
      </c>
      <c r="G239" t="inlineStr">
        <is>
          <t>Mới tạo</t>
        </is>
      </c>
    </row>
    <row r="240">
      <c r="A240" t="inlineStr">
        <is>
          <t>FM000239</t>
        </is>
      </c>
      <c r="B240" t="inlineStr">
        <is>
          <t>2026-10-04</t>
        </is>
      </c>
      <c r="C240" t="inlineStr">
        <is>
          <t>Liên tỉnh</t>
        </is>
      </c>
      <c r="D240" t="inlineStr">
        <is>
          <t>Nhanh</t>
        </is>
      </c>
      <c r="E240" t="n">
        <v>16.8</v>
      </c>
      <c r="F240" s="2">
        <f>IFERROR(VLOOKUP(C240&amp;"|"&amp;D240,Bang_gia!$A$2:$B$10,2,FALSE),"Không tìm thấy mã/khu vực/dịch vụ")</f>
        <v/>
      </c>
      <c r="G240" t="inlineStr">
        <is>
          <t>Đã giao</t>
        </is>
      </c>
    </row>
    <row r="241">
      <c r="A241" t="inlineStr">
        <is>
          <t>FM000240</t>
        </is>
      </c>
      <c r="B241" t="inlineStr">
        <is>
          <t>2026-10-04</t>
        </is>
      </c>
      <c r="C241" t="inlineStr">
        <is>
          <t>Liên tỉnh</t>
        </is>
      </c>
      <c r="D241" t="inlineStr">
        <is>
          <t>Nhanh</t>
        </is>
      </c>
      <c r="E241" t="n">
        <v>8.800000000000001</v>
      </c>
      <c r="F241" s="2">
        <f>IFERROR(VLOOKUP(C241&amp;"|"&amp;D241,Bang_gia!$A$2:$B$10,2,FALSE),"Không tìm thấy mã/khu vực/dịch vụ")</f>
        <v/>
      </c>
      <c r="G241" t="inlineStr">
        <is>
          <t>Mới tạo</t>
        </is>
      </c>
    </row>
    <row r="242">
      <c r="A242" t="inlineStr">
        <is>
          <t>FM000241</t>
        </is>
      </c>
      <c r="B242" t="inlineStr">
        <is>
          <t>2026-10-10</t>
        </is>
      </c>
      <c r="C242" t="inlineStr">
        <is>
          <t>Nội thành</t>
        </is>
      </c>
      <c r="D242" t="inlineStr">
        <is>
          <t>Tiêu chuẩn</t>
        </is>
      </c>
      <c r="E242" t="n">
        <v>12.8</v>
      </c>
      <c r="F242" s="2">
        <f>IFERROR(VLOOKUP(C242&amp;"|"&amp;D242,Bang_gia!$A$2:$B$10,2,FALSE),"Không tìm thấy mã/khu vực/dịch vụ")</f>
        <v/>
      </c>
      <c r="G242" t="inlineStr">
        <is>
          <t>Đang giao</t>
        </is>
      </c>
    </row>
    <row r="243">
      <c r="A243" t="inlineStr">
        <is>
          <t>FM000242</t>
        </is>
      </c>
      <c r="B243" t="inlineStr">
        <is>
          <t>2026-10-02</t>
        </is>
      </c>
      <c r="C243" t="inlineStr">
        <is>
          <t>Ngoại thành</t>
        </is>
      </c>
      <c r="D243" t="inlineStr">
        <is>
          <t>Nhanh</t>
        </is>
      </c>
      <c r="E243" t="n">
        <v>8.5</v>
      </c>
      <c r="F243" s="2">
        <f>IFERROR(VLOOKUP(C243&amp;"|"&amp;D243,Bang_gia!$A$2:$B$10,2,FALSE),"Không tìm thấy mã/khu vực/dịch vụ")</f>
        <v/>
      </c>
      <c r="G243" t="inlineStr">
        <is>
          <t>Mới tạo</t>
        </is>
      </c>
    </row>
    <row r="244">
      <c r="A244" t="inlineStr">
        <is>
          <t>FM000243</t>
        </is>
      </c>
      <c r="B244" t="inlineStr">
        <is>
          <t>2026-10-19</t>
        </is>
      </c>
      <c r="C244" t="inlineStr">
        <is>
          <t>Liên tỉnh</t>
        </is>
      </c>
      <c r="D244" t="inlineStr">
        <is>
          <t>Tiêu chuẩn</t>
        </is>
      </c>
      <c r="E244" t="n">
        <v>2.9</v>
      </c>
      <c r="F244" s="2">
        <f>IFERROR(VLOOKUP(C244&amp;"|"&amp;D244,Bang_gia!$A$2:$B$10,2,FALSE),"Không tìm thấy mã/khu vực/dịch vụ")</f>
        <v/>
      </c>
      <c r="G244" t="inlineStr">
        <is>
          <t>Chờ xử lý</t>
        </is>
      </c>
    </row>
    <row r="245">
      <c r="A245" t="inlineStr">
        <is>
          <t>FM000244</t>
        </is>
      </c>
      <c r="B245" t="inlineStr">
        <is>
          <t>2026-10-24</t>
        </is>
      </c>
      <c r="C245" t="inlineStr">
        <is>
          <t>Liên tỉnh</t>
        </is>
      </c>
      <c r="D245" t="inlineStr">
        <is>
          <t>Tiêu chuẩn</t>
        </is>
      </c>
      <c r="E245" t="n">
        <v>13.3</v>
      </c>
      <c r="F245" s="2">
        <f>IFERROR(VLOOKUP(C245&amp;"|"&amp;D245,Bang_gia!$A$2:$B$10,2,FALSE),"Không tìm thấy mã/khu vực/dịch vụ")</f>
        <v/>
      </c>
      <c r="G245" t="inlineStr">
        <is>
          <t>Đang giao</t>
        </is>
      </c>
    </row>
    <row r="246">
      <c r="A246" t="inlineStr">
        <is>
          <t>FM000245</t>
        </is>
      </c>
      <c r="B246" t="inlineStr">
        <is>
          <t>2026-10-17</t>
        </is>
      </c>
      <c r="C246" t="inlineStr">
        <is>
          <t>Ngoại thành</t>
        </is>
      </c>
      <c r="D246" t="inlineStr">
        <is>
          <t>Nhanh</t>
        </is>
      </c>
      <c r="E246" t="n">
        <v>15</v>
      </c>
      <c r="F246" s="2">
        <f>IFERROR(VLOOKUP(C246&amp;"|"&amp;D246,Bang_gia!$A$2:$B$10,2,FALSE),"Không tìm thấy mã/khu vực/dịch vụ")</f>
        <v/>
      </c>
      <c r="G246" t="inlineStr">
        <is>
          <t>Chờ xử lý</t>
        </is>
      </c>
    </row>
    <row r="247">
      <c r="A247" t="inlineStr">
        <is>
          <t>FM000246</t>
        </is>
      </c>
      <c r="B247" t="inlineStr">
        <is>
          <t>2026-10-11</t>
        </is>
      </c>
      <c r="C247" t="inlineStr">
        <is>
          <t>Ngoại thành</t>
        </is>
      </c>
      <c r="D247" t="inlineStr">
        <is>
          <t>Nhanh</t>
        </is>
      </c>
      <c r="E247" t="n">
        <v>11.7</v>
      </c>
      <c r="F247" s="2">
        <f>IFERROR(VLOOKUP(C247&amp;"|"&amp;D247,Bang_gia!$A$2:$B$10,2,FALSE),"Không tìm thấy mã/khu vực/dịch vụ")</f>
        <v/>
      </c>
      <c r="G247" t="inlineStr">
        <is>
          <t>Đã giao</t>
        </is>
      </c>
    </row>
    <row r="248">
      <c r="A248" t="inlineStr">
        <is>
          <t>FM000247</t>
        </is>
      </c>
      <c r="B248" t="inlineStr">
        <is>
          <t>2026-10-24</t>
        </is>
      </c>
      <c r="C248" t="inlineStr">
        <is>
          <t>Nội thành</t>
        </is>
      </c>
      <c r="D248" t="inlineStr">
        <is>
          <t>Tiêu chuẩn</t>
        </is>
      </c>
      <c r="E248" t="n">
        <v>3.4</v>
      </c>
      <c r="F248" s="2">
        <f>IFERROR(VLOOKUP(C248&amp;"|"&amp;D248,Bang_gia!$A$2:$B$10,2,FALSE),"Không tìm thấy mã/khu vực/dịch vụ")</f>
        <v/>
      </c>
      <c r="G248" t="inlineStr">
        <is>
          <t>Đã giao</t>
        </is>
      </c>
    </row>
    <row r="249">
      <c r="A249" t="inlineStr">
        <is>
          <t>FM000248</t>
        </is>
      </c>
      <c r="B249" t="inlineStr">
        <is>
          <t>2026-10-10</t>
        </is>
      </c>
      <c r="C249" t="inlineStr">
        <is>
          <t>Nội thành</t>
        </is>
      </c>
      <c r="D249" t="inlineStr">
        <is>
          <t>Tiêu chuẩn</t>
        </is>
      </c>
      <c r="E249" t="n">
        <v>6.1</v>
      </c>
      <c r="F249" s="2">
        <f>IFERROR(VLOOKUP(C249&amp;"|"&amp;D249,Bang_gia!$A$2:$B$10,2,FALSE),"Không tìm thấy mã/khu vực/dịch vụ")</f>
        <v/>
      </c>
      <c r="G249" t="inlineStr">
        <is>
          <t>Đang giao</t>
        </is>
      </c>
    </row>
    <row r="250">
      <c r="A250" t="inlineStr">
        <is>
          <t>FM000249</t>
        </is>
      </c>
      <c r="B250" t="inlineStr">
        <is>
          <t>2026-10-19</t>
        </is>
      </c>
      <c r="C250" t="inlineStr">
        <is>
          <t>Ngoại thành</t>
        </is>
      </c>
      <c r="D250" t="inlineStr">
        <is>
          <t>Nhanh</t>
        </is>
      </c>
      <c r="E250" t="n">
        <v>2.9</v>
      </c>
      <c r="F250" s="2">
        <f>IFERROR(VLOOKUP(C250&amp;"|"&amp;D250,Bang_gia!$A$2:$B$10,2,FALSE),"Không tìm thấy mã/khu vực/dịch vụ")</f>
        <v/>
      </c>
      <c r="G250" t="inlineStr">
        <is>
          <t>Chờ xử lý</t>
        </is>
      </c>
    </row>
    <row r="251">
      <c r="A251" t="inlineStr">
        <is>
          <t>FM000250</t>
        </is>
      </c>
      <c r="B251" t="inlineStr">
        <is>
          <t>2026-10-21</t>
        </is>
      </c>
      <c r="C251" t="inlineStr">
        <is>
          <t>Ngoại thành</t>
        </is>
      </c>
      <c r="D251" t="inlineStr">
        <is>
          <t>Tiêu chuẩn</t>
        </is>
      </c>
      <c r="E251" t="n">
        <v>4.1</v>
      </c>
      <c r="F251" s="2">
        <f>IFERROR(VLOOKUP(C251&amp;"|"&amp;D251,Bang_gia!$A$2:$B$10,2,FALSE),"Không tìm thấy mã/khu vực/dịch vụ")</f>
        <v/>
      </c>
      <c r="G251" t="inlineStr">
        <is>
          <t>Chờ xử lý</t>
        </is>
      </c>
    </row>
    <row r="252">
      <c r="A252" t="inlineStr">
        <is>
          <t>FM000251</t>
        </is>
      </c>
      <c r="B252" t="inlineStr">
        <is>
          <t>2026-10-02</t>
        </is>
      </c>
      <c r="C252" t="inlineStr">
        <is>
          <t>Ngoại thành</t>
        </is>
      </c>
      <c r="D252" t="inlineStr">
        <is>
          <t>Nhanh</t>
        </is>
      </c>
      <c r="E252" t="n">
        <v>14.6</v>
      </c>
      <c r="F252" s="2">
        <f>IFERROR(VLOOKUP(C252&amp;"|"&amp;D252,Bang_gia!$A$2:$B$10,2,FALSE),"Không tìm thấy mã/khu vực/dịch vụ")</f>
        <v/>
      </c>
      <c r="G252" t="inlineStr">
        <is>
          <t>Đang giao</t>
        </is>
      </c>
    </row>
    <row r="253">
      <c r="A253" t="inlineStr">
        <is>
          <t>FM000252</t>
        </is>
      </c>
      <c r="B253" t="inlineStr">
        <is>
          <t>2026-10-14</t>
        </is>
      </c>
      <c r="C253" t="inlineStr">
        <is>
          <t>Liên tỉnh</t>
        </is>
      </c>
      <c r="D253" t="inlineStr">
        <is>
          <t>Hỏa tốc</t>
        </is>
      </c>
      <c r="E253" t="n">
        <v>18.7</v>
      </c>
      <c r="F253" s="2">
        <f>IFERROR(VLOOKUP(C253&amp;"|"&amp;D253,Bang_gia!$A$2:$B$10,2,FALSE),"Không tìm thấy mã/khu vực/dịch vụ")</f>
        <v/>
      </c>
      <c r="G253" t="inlineStr">
        <is>
          <t>Đang giao</t>
        </is>
      </c>
    </row>
    <row r="254">
      <c r="A254" t="inlineStr">
        <is>
          <t>FM000253</t>
        </is>
      </c>
      <c r="B254" t="inlineStr">
        <is>
          <t>2026-10-20</t>
        </is>
      </c>
      <c r="C254" t="inlineStr">
        <is>
          <t>Ngoại thành</t>
        </is>
      </c>
      <c r="D254" t="inlineStr">
        <is>
          <t>Tiêu chuẩn</t>
        </is>
      </c>
      <c r="E254" t="n">
        <v>4.3</v>
      </c>
      <c r="F254" s="2">
        <f>IFERROR(VLOOKUP(C254&amp;"|"&amp;D254,Bang_gia!$A$2:$B$10,2,FALSE),"Không tìm thấy mã/khu vực/dịch vụ")</f>
        <v/>
      </c>
      <c r="G254" t="inlineStr">
        <is>
          <t>Mới tạo</t>
        </is>
      </c>
    </row>
    <row r="255">
      <c r="A255" t="inlineStr">
        <is>
          <t>FM000254</t>
        </is>
      </c>
      <c r="B255" t="inlineStr">
        <is>
          <t>2026-10-05</t>
        </is>
      </c>
      <c r="C255" t="inlineStr">
        <is>
          <t>Nội thành</t>
        </is>
      </c>
      <c r="D255" t="inlineStr">
        <is>
          <t>Tiêu chuẩn</t>
        </is>
      </c>
      <c r="E255" t="n">
        <v>5.5</v>
      </c>
      <c r="F255" s="2">
        <f>IFERROR(VLOOKUP(C255&amp;"|"&amp;D255,Bang_gia!$A$2:$B$10,2,FALSE),"Không tìm thấy mã/khu vực/dịch vụ")</f>
        <v/>
      </c>
      <c r="G255" t="inlineStr">
        <is>
          <t>Đang giao</t>
        </is>
      </c>
    </row>
    <row r="256">
      <c r="A256" t="inlineStr">
        <is>
          <t>FM000255</t>
        </is>
      </c>
      <c r="B256" t="inlineStr">
        <is>
          <t>2026-10-14</t>
        </is>
      </c>
      <c r="C256" t="inlineStr">
        <is>
          <t>Liên tỉnh</t>
        </is>
      </c>
      <c r="D256" t="inlineStr">
        <is>
          <t>Tiêu chuẩn</t>
        </is>
      </c>
      <c r="E256" t="n">
        <v>19</v>
      </c>
      <c r="F256" s="2">
        <f>IFERROR(VLOOKUP(C256&amp;"|"&amp;D256,Bang_gia!$A$2:$B$10,2,FALSE),"Không tìm thấy mã/khu vực/dịch vụ")</f>
        <v/>
      </c>
      <c r="G256" t="inlineStr">
        <is>
          <t>Chờ xử lý</t>
        </is>
      </c>
    </row>
    <row r="257">
      <c r="A257" t="inlineStr">
        <is>
          <t>FM000256</t>
        </is>
      </c>
      <c r="B257" t="inlineStr">
        <is>
          <t>2026-10-19</t>
        </is>
      </c>
      <c r="C257" t="inlineStr">
        <is>
          <t>Liên tỉnh</t>
        </is>
      </c>
      <c r="D257" t="inlineStr">
        <is>
          <t>Nhanh</t>
        </is>
      </c>
      <c r="E257" t="n">
        <v>6.2</v>
      </c>
      <c r="F257" s="2">
        <f>IFERROR(VLOOKUP(C257&amp;"|"&amp;D257,Bang_gia!$A$2:$B$10,2,FALSE),"Không tìm thấy mã/khu vực/dịch vụ")</f>
        <v/>
      </c>
      <c r="G257" t="inlineStr">
        <is>
          <t>Đang giao</t>
        </is>
      </c>
    </row>
    <row r="258">
      <c r="A258" t="inlineStr">
        <is>
          <t>FM000257</t>
        </is>
      </c>
      <c r="B258" t="inlineStr">
        <is>
          <t>2026-10-14</t>
        </is>
      </c>
      <c r="C258" t="inlineStr">
        <is>
          <t>Nội thành</t>
        </is>
      </c>
      <c r="D258" t="inlineStr">
        <is>
          <t>Nhanh</t>
        </is>
      </c>
      <c r="E258" t="n">
        <v>8.5</v>
      </c>
      <c r="F258" s="2">
        <f>IFERROR(VLOOKUP(C258&amp;"|"&amp;D258,Bang_gia!$A$2:$B$10,2,FALSE),"Không tìm thấy mã/khu vực/dịch vụ")</f>
        <v/>
      </c>
      <c r="G258" t="inlineStr">
        <is>
          <t>Đã giao</t>
        </is>
      </c>
    </row>
    <row r="259">
      <c r="A259" t="inlineStr">
        <is>
          <t>FM000258</t>
        </is>
      </c>
      <c r="B259" t="inlineStr">
        <is>
          <t>2026-10-08</t>
        </is>
      </c>
      <c r="C259" t="inlineStr">
        <is>
          <t>Nội thành</t>
        </is>
      </c>
      <c r="D259" t="inlineStr">
        <is>
          <t>Nhanh</t>
        </is>
      </c>
      <c r="E259" t="n">
        <v>18.9</v>
      </c>
      <c r="F259" s="2">
        <f>IFERROR(VLOOKUP(C259&amp;"|"&amp;D259,Bang_gia!$A$2:$B$10,2,FALSE),"Không tìm thấy mã/khu vực/dịch vụ")</f>
        <v/>
      </c>
      <c r="G259" t="inlineStr">
        <is>
          <t>Đã giao</t>
        </is>
      </c>
    </row>
    <row r="260">
      <c r="A260" t="inlineStr">
        <is>
          <t>FM000259</t>
        </is>
      </c>
      <c r="B260" t="inlineStr">
        <is>
          <t>2026-10-03</t>
        </is>
      </c>
      <c r="C260" t="inlineStr">
        <is>
          <t>Ngoại thành</t>
        </is>
      </c>
      <c r="D260" t="inlineStr">
        <is>
          <t>Nhanh</t>
        </is>
      </c>
      <c r="E260" t="n">
        <v>8.9</v>
      </c>
      <c r="F260" s="2">
        <f>IFERROR(VLOOKUP(C260&amp;"|"&amp;D260,Bang_gia!$A$2:$B$10,2,FALSE),"Không tìm thấy mã/khu vực/dịch vụ")</f>
        <v/>
      </c>
      <c r="G260" t="inlineStr">
        <is>
          <t>Mới tạo</t>
        </is>
      </c>
    </row>
    <row r="261">
      <c r="A261" t="inlineStr">
        <is>
          <t>FM000260</t>
        </is>
      </c>
      <c r="B261" t="inlineStr">
        <is>
          <t>2026-10-15</t>
        </is>
      </c>
      <c r="C261" t="inlineStr">
        <is>
          <t>Nội thành</t>
        </is>
      </c>
      <c r="D261" t="inlineStr">
        <is>
          <t>Hỏa tốc</t>
        </is>
      </c>
      <c r="E261" t="n">
        <v>15.5</v>
      </c>
      <c r="F261" s="2">
        <f>IFERROR(VLOOKUP(C261&amp;"|"&amp;D261,Bang_gia!$A$2:$B$10,2,FALSE),"Không tìm thấy mã/khu vực/dịch vụ")</f>
        <v/>
      </c>
      <c r="G261" t="inlineStr">
        <is>
          <t>Đang giao</t>
        </is>
      </c>
    </row>
    <row r="262">
      <c r="A262" t="inlineStr">
        <is>
          <t>FM000261</t>
        </is>
      </c>
      <c r="B262" t="inlineStr">
        <is>
          <t>2026-10-11</t>
        </is>
      </c>
      <c r="C262" t="inlineStr">
        <is>
          <t>Ngoại thành</t>
        </is>
      </c>
      <c r="D262" t="inlineStr">
        <is>
          <t>Tiêu chuẩn</t>
        </is>
      </c>
      <c r="E262" t="n">
        <v>16.7</v>
      </c>
      <c r="F262" s="2">
        <f>IFERROR(VLOOKUP(C262&amp;"|"&amp;D262,Bang_gia!$A$2:$B$10,2,FALSE),"Không tìm thấy mã/khu vực/dịch vụ")</f>
        <v/>
      </c>
      <c r="G262" t="inlineStr">
        <is>
          <t>Đang giao</t>
        </is>
      </c>
    </row>
    <row r="263">
      <c r="A263" t="inlineStr">
        <is>
          <t>FM000262</t>
        </is>
      </c>
      <c r="B263" t="inlineStr">
        <is>
          <t>2026-10-09</t>
        </is>
      </c>
      <c r="C263" t="inlineStr">
        <is>
          <t>Nội thành</t>
        </is>
      </c>
      <c r="D263" t="inlineStr">
        <is>
          <t>Nhanh</t>
        </is>
      </c>
      <c r="E263" t="n">
        <v>13.9</v>
      </c>
      <c r="F263" s="2">
        <f>IFERROR(VLOOKUP(C263&amp;"|"&amp;D263,Bang_gia!$A$2:$B$10,2,FALSE),"Không tìm thấy mã/khu vực/dịch vụ")</f>
        <v/>
      </c>
      <c r="G263" t="inlineStr">
        <is>
          <t>Đang giao</t>
        </is>
      </c>
    </row>
    <row r="264">
      <c r="A264" t="inlineStr">
        <is>
          <t>FM000263</t>
        </is>
      </c>
      <c r="B264" t="inlineStr">
        <is>
          <t>2026-10-17</t>
        </is>
      </c>
      <c r="C264" t="inlineStr">
        <is>
          <t>Nội thành</t>
        </is>
      </c>
      <c r="D264" t="inlineStr">
        <is>
          <t>Tiêu chuẩn</t>
        </is>
      </c>
      <c r="E264" t="n">
        <v>6.5</v>
      </c>
      <c r="F264" s="2">
        <f>IFERROR(VLOOKUP(C264&amp;"|"&amp;D264,Bang_gia!$A$2:$B$10,2,FALSE),"Không tìm thấy mã/khu vực/dịch vụ")</f>
        <v/>
      </c>
      <c r="G264" t="inlineStr">
        <is>
          <t>Chờ xử lý</t>
        </is>
      </c>
    </row>
    <row r="265">
      <c r="A265" t="inlineStr">
        <is>
          <t>FM000264</t>
        </is>
      </c>
      <c r="B265" t="inlineStr">
        <is>
          <t>2026-10-20</t>
        </is>
      </c>
      <c r="C265" t="inlineStr">
        <is>
          <t>Nội thành</t>
        </is>
      </c>
      <c r="D265" t="inlineStr">
        <is>
          <t>Hỏa tốc</t>
        </is>
      </c>
      <c r="E265" t="n">
        <v>14.5</v>
      </c>
      <c r="F265" s="2">
        <f>IFERROR(VLOOKUP(C265&amp;"|"&amp;D265,Bang_gia!$A$2:$B$10,2,FALSE),"Không tìm thấy mã/khu vực/dịch vụ")</f>
        <v/>
      </c>
      <c r="G265" t="inlineStr">
        <is>
          <t>Đã giao</t>
        </is>
      </c>
    </row>
    <row r="266">
      <c r="A266" t="inlineStr">
        <is>
          <t>FM000265</t>
        </is>
      </c>
      <c r="B266" t="inlineStr">
        <is>
          <t>2026-10-16</t>
        </is>
      </c>
      <c r="C266" t="inlineStr">
        <is>
          <t>Nội thành</t>
        </is>
      </c>
      <c r="D266" t="inlineStr">
        <is>
          <t>Tiêu chuẩn</t>
        </is>
      </c>
      <c r="E266" t="n">
        <v>3.9</v>
      </c>
      <c r="F266" s="2">
        <f>IFERROR(VLOOKUP(C266&amp;"|"&amp;D266,Bang_gia!$A$2:$B$10,2,FALSE),"Không tìm thấy mã/khu vực/dịch vụ")</f>
        <v/>
      </c>
      <c r="G266" t="inlineStr">
        <is>
          <t>Đang giao</t>
        </is>
      </c>
    </row>
    <row r="267">
      <c r="A267" t="inlineStr">
        <is>
          <t>FM000266</t>
        </is>
      </c>
      <c r="B267" t="inlineStr">
        <is>
          <t>2026-10-21</t>
        </is>
      </c>
      <c r="C267" t="inlineStr">
        <is>
          <t>Liên tỉnh</t>
        </is>
      </c>
      <c r="D267" t="inlineStr">
        <is>
          <t>Nhanh</t>
        </is>
      </c>
      <c r="E267" t="n">
        <v>3.4</v>
      </c>
      <c r="F267" s="2">
        <f>IFERROR(VLOOKUP(C267&amp;"|"&amp;D267,Bang_gia!$A$2:$B$10,2,FALSE),"Không tìm thấy mã/khu vực/dịch vụ")</f>
        <v/>
      </c>
      <c r="G267" t="inlineStr">
        <is>
          <t>Đã giao</t>
        </is>
      </c>
    </row>
    <row r="268">
      <c r="A268" t="inlineStr">
        <is>
          <t>FM000267</t>
        </is>
      </c>
      <c r="B268" t="inlineStr">
        <is>
          <t>2026-10-12</t>
        </is>
      </c>
      <c r="C268" t="inlineStr">
        <is>
          <t>Nội thành</t>
        </is>
      </c>
      <c r="D268" t="inlineStr">
        <is>
          <t>Nhanh</t>
        </is>
      </c>
      <c r="E268" t="n">
        <v>1</v>
      </c>
      <c r="F268" s="2">
        <f>IFERROR(VLOOKUP(C268&amp;"|"&amp;D268,Bang_gia!$A$2:$B$10,2,FALSE),"Không tìm thấy mã/khu vực/dịch vụ")</f>
        <v/>
      </c>
      <c r="G268" t="inlineStr">
        <is>
          <t>Đã giao</t>
        </is>
      </c>
    </row>
    <row r="269">
      <c r="A269" t="inlineStr">
        <is>
          <t>FM000268</t>
        </is>
      </c>
      <c r="B269" t="inlineStr">
        <is>
          <t>2026-10-19</t>
        </is>
      </c>
      <c r="C269" t="inlineStr">
        <is>
          <t>Nội thành</t>
        </is>
      </c>
      <c r="D269" t="inlineStr">
        <is>
          <t>Tiêu chuẩn</t>
        </is>
      </c>
      <c r="E269" t="n">
        <v>9.800000000000001</v>
      </c>
      <c r="F269" s="2">
        <f>IFERROR(VLOOKUP(C269&amp;"|"&amp;D269,Bang_gia!$A$2:$B$10,2,FALSE),"Không tìm thấy mã/khu vực/dịch vụ")</f>
        <v/>
      </c>
      <c r="G269" t="inlineStr">
        <is>
          <t>Đã giao</t>
        </is>
      </c>
    </row>
    <row r="270">
      <c r="A270" t="inlineStr">
        <is>
          <t>FM000269</t>
        </is>
      </c>
      <c r="B270" t="inlineStr">
        <is>
          <t>2026-10-24</t>
        </is>
      </c>
      <c r="C270" t="inlineStr">
        <is>
          <t>Liên tỉnh</t>
        </is>
      </c>
      <c r="D270" t="inlineStr">
        <is>
          <t>Tiêu chuẩn</t>
        </is>
      </c>
      <c r="E270" t="n">
        <v>15.3</v>
      </c>
      <c r="F270" s="2">
        <f>IFERROR(VLOOKUP(C270&amp;"|"&amp;D270,Bang_gia!$A$2:$B$10,2,FALSE),"Không tìm thấy mã/khu vực/dịch vụ")</f>
        <v/>
      </c>
      <c r="G270" t="inlineStr">
        <is>
          <t>Chờ xử lý</t>
        </is>
      </c>
    </row>
    <row r="271">
      <c r="A271" t="inlineStr">
        <is>
          <t>FM000270</t>
        </is>
      </c>
      <c r="B271" t="inlineStr">
        <is>
          <t>2026-10-18</t>
        </is>
      </c>
      <c r="C271" t="inlineStr">
        <is>
          <t>Ngoại thành</t>
        </is>
      </c>
      <c r="D271" t="inlineStr">
        <is>
          <t>Tiêu chuẩn</t>
        </is>
      </c>
      <c r="E271" t="n">
        <v>14.3</v>
      </c>
      <c r="F271" s="2">
        <f>IFERROR(VLOOKUP(C271&amp;"|"&amp;D271,Bang_gia!$A$2:$B$10,2,FALSE),"Không tìm thấy mã/khu vực/dịch vụ")</f>
        <v/>
      </c>
      <c r="G271" t="inlineStr">
        <is>
          <t>Chờ xử lý</t>
        </is>
      </c>
    </row>
    <row r="272">
      <c r="A272" t="inlineStr">
        <is>
          <t>FM000271</t>
        </is>
      </c>
      <c r="B272" t="inlineStr">
        <is>
          <t>2026-10-20</t>
        </is>
      </c>
      <c r="C272" t="inlineStr">
        <is>
          <t>Nội thành</t>
        </is>
      </c>
      <c r="D272" t="inlineStr">
        <is>
          <t>Hỏa tốc</t>
        </is>
      </c>
      <c r="E272" t="n">
        <v>6.5</v>
      </c>
      <c r="F272" s="2">
        <f>IFERROR(VLOOKUP(C272&amp;"|"&amp;D272,Bang_gia!$A$2:$B$10,2,FALSE),"Không tìm thấy mã/khu vực/dịch vụ")</f>
        <v/>
      </c>
      <c r="G272" t="inlineStr">
        <is>
          <t>Đã giao</t>
        </is>
      </c>
    </row>
    <row r="273">
      <c r="A273" t="inlineStr">
        <is>
          <t>FM000272</t>
        </is>
      </c>
      <c r="B273" t="inlineStr">
        <is>
          <t>2026-10-21</t>
        </is>
      </c>
      <c r="C273" t="inlineStr">
        <is>
          <t>Nội thành</t>
        </is>
      </c>
      <c r="D273" t="inlineStr">
        <is>
          <t>Tiêu chuẩn</t>
        </is>
      </c>
      <c r="E273" t="n">
        <v>10.4</v>
      </c>
      <c r="F273" s="2">
        <f>IFERROR(VLOOKUP(C273&amp;"|"&amp;D273,Bang_gia!$A$2:$B$10,2,FALSE),"Không tìm thấy mã/khu vực/dịch vụ")</f>
        <v/>
      </c>
      <c r="G273" t="inlineStr">
        <is>
          <t>Mới tạo</t>
        </is>
      </c>
    </row>
    <row r="274">
      <c r="A274" t="inlineStr">
        <is>
          <t>FM000273</t>
        </is>
      </c>
      <c r="B274" t="inlineStr">
        <is>
          <t>2026-10-14</t>
        </is>
      </c>
      <c r="C274" t="inlineStr">
        <is>
          <t>Liên tỉnh</t>
        </is>
      </c>
      <c r="D274" t="inlineStr">
        <is>
          <t>Hỏa tốc</t>
        </is>
      </c>
      <c r="E274" t="n">
        <v>19.5</v>
      </c>
      <c r="F274" s="2">
        <f>IFERROR(VLOOKUP(C274&amp;"|"&amp;D274,Bang_gia!$A$2:$B$10,2,FALSE),"Không tìm thấy mã/khu vực/dịch vụ")</f>
        <v/>
      </c>
      <c r="G274" t="inlineStr">
        <is>
          <t>Mới tạo</t>
        </is>
      </c>
    </row>
    <row r="275">
      <c r="A275" t="inlineStr">
        <is>
          <t>FM000274</t>
        </is>
      </c>
      <c r="B275" t="inlineStr">
        <is>
          <t>2026-10-22</t>
        </is>
      </c>
      <c r="C275" t="inlineStr">
        <is>
          <t>Nội thành</t>
        </is>
      </c>
      <c r="D275" t="inlineStr">
        <is>
          <t>Tiêu chuẩn</t>
        </is>
      </c>
      <c r="E275" t="n">
        <v>3.8</v>
      </c>
      <c r="F275" s="2">
        <f>IFERROR(VLOOKUP(C275&amp;"|"&amp;D275,Bang_gia!$A$2:$B$10,2,FALSE),"Không tìm thấy mã/khu vực/dịch vụ")</f>
        <v/>
      </c>
      <c r="G275" t="inlineStr">
        <is>
          <t>Chờ xử lý</t>
        </is>
      </c>
    </row>
    <row r="276">
      <c r="A276" t="inlineStr">
        <is>
          <t>FM000275</t>
        </is>
      </c>
      <c r="B276" t="inlineStr">
        <is>
          <t>2026-10-04</t>
        </is>
      </c>
      <c r="C276" t="inlineStr">
        <is>
          <t>Nội thành</t>
        </is>
      </c>
      <c r="D276" t="inlineStr">
        <is>
          <t>Nhanh</t>
        </is>
      </c>
      <c r="E276" t="n">
        <v>11.6</v>
      </c>
      <c r="F276" s="2">
        <f>IFERROR(VLOOKUP(C276&amp;"|"&amp;D276,Bang_gia!$A$2:$B$10,2,FALSE),"Không tìm thấy mã/khu vực/dịch vụ")</f>
        <v/>
      </c>
      <c r="G276" t="inlineStr">
        <is>
          <t>Mới tạo</t>
        </is>
      </c>
    </row>
    <row r="277">
      <c r="A277" t="inlineStr">
        <is>
          <t>FM000276</t>
        </is>
      </c>
      <c r="B277" t="inlineStr">
        <is>
          <t>2026-10-18</t>
        </is>
      </c>
      <c r="C277" t="inlineStr">
        <is>
          <t>Liên tỉnh</t>
        </is>
      </c>
      <c r="D277" t="inlineStr">
        <is>
          <t>Hỏa tốc</t>
        </is>
      </c>
      <c r="E277" t="n">
        <v>1</v>
      </c>
      <c r="F277" s="2">
        <f>IFERROR(VLOOKUP(C277&amp;"|"&amp;D277,Bang_gia!$A$2:$B$10,2,FALSE),"Không tìm thấy mã/khu vực/dịch vụ")</f>
        <v/>
      </c>
      <c r="G277" t="inlineStr">
        <is>
          <t>Chờ xử lý</t>
        </is>
      </c>
    </row>
    <row r="278">
      <c r="A278" t="inlineStr">
        <is>
          <t>FM000277</t>
        </is>
      </c>
      <c r="B278" t="inlineStr">
        <is>
          <t>2026-10-19</t>
        </is>
      </c>
      <c r="C278" t="inlineStr">
        <is>
          <t>Nội thành</t>
        </is>
      </c>
      <c r="D278" t="inlineStr">
        <is>
          <t>Nhanh</t>
        </is>
      </c>
      <c r="E278" t="n">
        <v>15.9</v>
      </c>
      <c r="F278" s="2">
        <f>IFERROR(VLOOKUP(C278&amp;"|"&amp;D278,Bang_gia!$A$2:$B$10,2,FALSE),"Không tìm thấy mã/khu vực/dịch vụ")</f>
        <v/>
      </c>
      <c r="G278" t="inlineStr">
        <is>
          <t>Mới tạo</t>
        </is>
      </c>
    </row>
    <row r="279">
      <c r="A279" t="inlineStr">
        <is>
          <t>FM000278</t>
        </is>
      </c>
      <c r="B279" t="inlineStr">
        <is>
          <t>2026-10-06</t>
        </is>
      </c>
      <c r="C279" t="inlineStr">
        <is>
          <t>Ngoại thành</t>
        </is>
      </c>
      <c r="D279" t="inlineStr">
        <is>
          <t>Hỏa tốc</t>
        </is>
      </c>
      <c r="E279" t="n">
        <v>19.4</v>
      </c>
      <c r="F279" s="2">
        <f>IFERROR(VLOOKUP(C279&amp;"|"&amp;D279,Bang_gia!$A$2:$B$10,2,FALSE),"Không tìm thấy mã/khu vực/dịch vụ")</f>
        <v/>
      </c>
      <c r="G279" t="inlineStr">
        <is>
          <t>Đã giao</t>
        </is>
      </c>
    </row>
    <row r="280">
      <c r="A280" t="inlineStr">
        <is>
          <t>FM000279</t>
        </is>
      </c>
      <c r="B280" t="inlineStr">
        <is>
          <t>2026-10-21</t>
        </is>
      </c>
      <c r="C280" t="inlineStr">
        <is>
          <t>Ngoại thành</t>
        </is>
      </c>
      <c r="D280" t="inlineStr">
        <is>
          <t>Nhanh</t>
        </is>
      </c>
      <c r="E280" t="n">
        <v>8.4</v>
      </c>
      <c r="F280" s="2">
        <f>IFERROR(VLOOKUP(C280&amp;"|"&amp;D280,Bang_gia!$A$2:$B$10,2,FALSE),"Không tìm thấy mã/khu vực/dịch vụ")</f>
        <v/>
      </c>
      <c r="G280" t="inlineStr">
        <is>
          <t>Đã giao</t>
        </is>
      </c>
    </row>
    <row r="281">
      <c r="A281" t="inlineStr">
        <is>
          <t>FM000280</t>
        </is>
      </c>
      <c r="B281" t="inlineStr">
        <is>
          <t>2026-10-18</t>
        </is>
      </c>
      <c r="C281" t="inlineStr">
        <is>
          <t>Ngoại thành</t>
        </is>
      </c>
      <c r="D281" t="inlineStr">
        <is>
          <t>Tiêu chuẩn</t>
        </is>
      </c>
      <c r="E281" t="n">
        <v>19.8</v>
      </c>
      <c r="F281" s="2">
        <f>IFERROR(VLOOKUP(C281&amp;"|"&amp;D281,Bang_gia!$A$2:$B$10,2,FALSE),"Không tìm thấy mã/khu vực/dịch vụ")</f>
        <v/>
      </c>
      <c r="G281" t="inlineStr">
        <is>
          <t>Đang giao</t>
        </is>
      </c>
    </row>
    <row r="282">
      <c r="A282" t="inlineStr">
        <is>
          <t>FM000281</t>
        </is>
      </c>
      <c r="B282" t="inlineStr">
        <is>
          <t>2026-10-14</t>
        </is>
      </c>
      <c r="C282" t="inlineStr">
        <is>
          <t>Ngoại thành</t>
        </is>
      </c>
      <c r="D282" t="inlineStr">
        <is>
          <t>Nhanh</t>
        </is>
      </c>
      <c r="E282" t="n">
        <v>10.8</v>
      </c>
      <c r="F282" s="2">
        <f>IFERROR(VLOOKUP(C282&amp;"|"&amp;D282,Bang_gia!$A$2:$B$10,2,FALSE),"Không tìm thấy mã/khu vực/dịch vụ")</f>
        <v/>
      </c>
      <c r="G282" t="inlineStr">
        <is>
          <t>Mới tạo</t>
        </is>
      </c>
    </row>
    <row r="283">
      <c r="A283" t="inlineStr">
        <is>
          <t>FM000282</t>
        </is>
      </c>
      <c r="B283" t="inlineStr">
        <is>
          <t>2026-10-13</t>
        </is>
      </c>
      <c r="C283" t="inlineStr">
        <is>
          <t>Nội thành</t>
        </is>
      </c>
      <c r="D283" t="inlineStr">
        <is>
          <t>Nhanh</t>
        </is>
      </c>
      <c r="E283" t="n">
        <v>13.1</v>
      </c>
      <c r="F283" s="2">
        <f>IFERROR(VLOOKUP(C283&amp;"|"&amp;D283,Bang_gia!$A$2:$B$10,2,FALSE),"Không tìm thấy mã/khu vực/dịch vụ")</f>
        <v/>
      </c>
      <c r="G283" t="inlineStr">
        <is>
          <t>Chờ xử lý</t>
        </is>
      </c>
    </row>
    <row r="284">
      <c r="A284" t="inlineStr">
        <is>
          <t>FM000283</t>
        </is>
      </c>
      <c r="B284" t="inlineStr">
        <is>
          <t>2026-10-17</t>
        </is>
      </c>
      <c r="C284" t="inlineStr">
        <is>
          <t>Liên tỉnh</t>
        </is>
      </c>
      <c r="D284" t="inlineStr">
        <is>
          <t>Nhanh</t>
        </is>
      </c>
      <c r="E284" t="n">
        <v>3.8</v>
      </c>
      <c r="F284" s="2">
        <f>IFERROR(VLOOKUP(C284&amp;"|"&amp;D284,Bang_gia!$A$2:$B$10,2,FALSE),"Không tìm thấy mã/khu vực/dịch vụ")</f>
        <v/>
      </c>
      <c r="G284" t="inlineStr">
        <is>
          <t>Mới tạo</t>
        </is>
      </c>
    </row>
    <row r="285">
      <c r="A285" t="inlineStr">
        <is>
          <t>FM000284</t>
        </is>
      </c>
      <c r="B285" t="inlineStr">
        <is>
          <t>2026-10-18</t>
        </is>
      </c>
      <c r="C285" t="inlineStr">
        <is>
          <t>Nội thành</t>
        </is>
      </c>
      <c r="D285" t="inlineStr">
        <is>
          <t>Tiêu chuẩn</t>
        </is>
      </c>
      <c r="E285" t="n">
        <v>2.2</v>
      </c>
      <c r="F285" s="2">
        <f>IFERROR(VLOOKUP(C285&amp;"|"&amp;D285,Bang_gia!$A$2:$B$10,2,FALSE),"Không tìm thấy mã/khu vực/dịch vụ")</f>
        <v/>
      </c>
      <c r="G285" t="inlineStr">
        <is>
          <t>Mới tạo</t>
        </is>
      </c>
    </row>
    <row r="286">
      <c r="A286" t="inlineStr">
        <is>
          <t>FM000285</t>
        </is>
      </c>
      <c r="B286" t="inlineStr">
        <is>
          <t>2026-10-03</t>
        </is>
      </c>
      <c r="C286" t="inlineStr">
        <is>
          <t>Liên tỉnh</t>
        </is>
      </c>
      <c r="D286" t="inlineStr">
        <is>
          <t>Nhanh</t>
        </is>
      </c>
      <c r="E286" t="n">
        <v>10.4</v>
      </c>
      <c r="F286" s="2">
        <f>IFERROR(VLOOKUP(C286&amp;"|"&amp;D286,Bang_gia!$A$2:$B$10,2,FALSE),"Không tìm thấy mã/khu vực/dịch vụ")</f>
        <v/>
      </c>
      <c r="G286" t="inlineStr">
        <is>
          <t>Đang giao</t>
        </is>
      </c>
    </row>
    <row r="287">
      <c r="A287" t="inlineStr">
        <is>
          <t>FM000286</t>
        </is>
      </c>
      <c r="B287" t="inlineStr">
        <is>
          <t>2026-10-07</t>
        </is>
      </c>
      <c r="C287" t="inlineStr">
        <is>
          <t>Liên tỉnh</t>
        </is>
      </c>
      <c r="D287" t="inlineStr">
        <is>
          <t>Nhanh</t>
        </is>
      </c>
      <c r="E287" t="n">
        <v>7.5</v>
      </c>
      <c r="F287" s="2">
        <f>IFERROR(VLOOKUP(C287&amp;"|"&amp;D287,Bang_gia!$A$2:$B$10,2,FALSE),"Không tìm thấy mã/khu vực/dịch vụ")</f>
        <v/>
      </c>
      <c r="G287" t="inlineStr">
        <is>
          <t>Đang giao</t>
        </is>
      </c>
    </row>
    <row r="288">
      <c r="A288" t="inlineStr">
        <is>
          <t>FM000287</t>
        </is>
      </c>
      <c r="B288" t="inlineStr">
        <is>
          <t>2026-10-20</t>
        </is>
      </c>
      <c r="C288" t="inlineStr">
        <is>
          <t>Nội thành</t>
        </is>
      </c>
      <c r="D288" t="inlineStr">
        <is>
          <t>Tiêu chuẩn</t>
        </is>
      </c>
      <c r="E288" t="n">
        <v>12.9</v>
      </c>
      <c r="F288" s="2">
        <f>IFERROR(VLOOKUP(C288&amp;"|"&amp;D288,Bang_gia!$A$2:$B$10,2,FALSE),"Không tìm thấy mã/khu vực/dịch vụ")</f>
        <v/>
      </c>
      <c r="G288" t="inlineStr">
        <is>
          <t>Đã giao</t>
        </is>
      </c>
    </row>
    <row r="289">
      <c r="A289" t="inlineStr">
        <is>
          <t>FM000288</t>
        </is>
      </c>
      <c r="B289" t="inlineStr">
        <is>
          <t>2026-10-23</t>
        </is>
      </c>
      <c r="C289" t="inlineStr">
        <is>
          <t>Ngoại thành</t>
        </is>
      </c>
      <c r="D289" t="inlineStr">
        <is>
          <t>Tiêu chuẩn</t>
        </is>
      </c>
      <c r="E289" t="n">
        <v>3.6</v>
      </c>
      <c r="F289" s="2">
        <f>IFERROR(VLOOKUP(C289&amp;"|"&amp;D289,Bang_gia!$A$2:$B$10,2,FALSE),"Không tìm thấy mã/khu vực/dịch vụ")</f>
        <v/>
      </c>
      <c r="G289" t="inlineStr">
        <is>
          <t>Mới tạo</t>
        </is>
      </c>
    </row>
    <row r="290">
      <c r="A290" t="inlineStr">
        <is>
          <t>FM000289</t>
        </is>
      </c>
      <c r="B290" t="inlineStr">
        <is>
          <t>2026-10-17</t>
        </is>
      </c>
      <c r="C290" t="inlineStr">
        <is>
          <t>Ngoại thành</t>
        </is>
      </c>
      <c r="D290" t="inlineStr">
        <is>
          <t>Tiêu chuẩn</t>
        </is>
      </c>
      <c r="E290" t="n">
        <v>18.1</v>
      </c>
      <c r="F290" s="2">
        <f>IFERROR(VLOOKUP(C290&amp;"|"&amp;D290,Bang_gia!$A$2:$B$10,2,FALSE),"Không tìm thấy mã/khu vực/dịch vụ")</f>
        <v/>
      </c>
      <c r="G290" t="inlineStr">
        <is>
          <t>Đã giao</t>
        </is>
      </c>
    </row>
    <row r="291">
      <c r="A291" t="inlineStr">
        <is>
          <t>FM000290</t>
        </is>
      </c>
      <c r="B291" t="inlineStr">
        <is>
          <t>2026-10-13</t>
        </is>
      </c>
      <c r="C291" t="inlineStr">
        <is>
          <t>Nội thành</t>
        </is>
      </c>
      <c r="D291" t="inlineStr">
        <is>
          <t>Hỏa tốc</t>
        </is>
      </c>
      <c r="E291" t="n">
        <v>4.5</v>
      </c>
      <c r="F291" s="2">
        <f>IFERROR(VLOOKUP(C291&amp;"|"&amp;D291,Bang_gia!$A$2:$B$10,2,FALSE),"Không tìm thấy mã/khu vực/dịch vụ")</f>
        <v/>
      </c>
      <c r="G291" t="inlineStr">
        <is>
          <t>Chờ xử lý</t>
        </is>
      </c>
    </row>
    <row r="292">
      <c r="A292" t="inlineStr">
        <is>
          <t>FM000291</t>
        </is>
      </c>
      <c r="B292" t="inlineStr">
        <is>
          <t>2026-10-26</t>
        </is>
      </c>
      <c r="C292" t="inlineStr">
        <is>
          <t>Nội thành</t>
        </is>
      </c>
      <c r="D292" t="inlineStr">
        <is>
          <t>Tiêu chuẩn</t>
        </is>
      </c>
      <c r="E292" t="n">
        <v>17.7</v>
      </c>
      <c r="F292" s="2">
        <f>IFERROR(VLOOKUP(C292&amp;"|"&amp;D292,Bang_gia!$A$2:$B$10,2,FALSE),"Không tìm thấy mã/khu vực/dịch vụ")</f>
        <v/>
      </c>
      <c r="G292" t="inlineStr">
        <is>
          <t>Đã giao</t>
        </is>
      </c>
    </row>
    <row r="293">
      <c r="A293" t="inlineStr">
        <is>
          <t>FM000292</t>
        </is>
      </c>
      <c r="B293" t="inlineStr">
        <is>
          <t>2026-10-12</t>
        </is>
      </c>
      <c r="C293" t="inlineStr">
        <is>
          <t>Liên tỉnh</t>
        </is>
      </c>
      <c r="D293" t="inlineStr">
        <is>
          <t>Tiêu chuẩn</t>
        </is>
      </c>
      <c r="E293" t="n">
        <v>15.6</v>
      </c>
      <c r="F293" s="2">
        <f>IFERROR(VLOOKUP(C293&amp;"|"&amp;D293,Bang_gia!$A$2:$B$10,2,FALSE),"Không tìm thấy mã/khu vực/dịch vụ")</f>
        <v/>
      </c>
      <c r="G293" t="inlineStr">
        <is>
          <t>Đang giao</t>
        </is>
      </c>
    </row>
    <row r="294">
      <c r="A294" t="inlineStr">
        <is>
          <t>FM000293</t>
        </is>
      </c>
      <c r="B294" t="inlineStr">
        <is>
          <t>2026-10-03</t>
        </is>
      </c>
      <c r="C294" t="inlineStr">
        <is>
          <t>Ngoại thành</t>
        </is>
      </c>
      <c r="D294" t="inlineStr">
        <is>
          <t>Nhanh</t>
        </is>
      </c>
      <c r="E294" t="n">
        <v>2.3</v>
      </c>
      <c r="F294" s="2">
        <f>IFERROR(VLOOKUP(C294&amp;"|"&amp;D294,Bang_gia!$A$2:$B$10,2,FALSE),"Không tìm thấy mã/khu vực/dịch vụ")</f>
        <v/>
      </c>
      <c r="G294" t="inlineStr">
        <is>
          <t>Đã giao</t>
        </is>
      </c>
    </row>
    <row r="295">
      <c r="A295" t="inlineStr">
        <is>
          <t>FM000294</t>
        </is>
      </c>
      <c r="B295" t="inlineStr">
        <is>
          <t>2026-10-13</t>
        </is>
      </c>
      <c r="C295" t="inlineStr">
        <is>
          <t>Liên tỉnh</t>
        </is>
      </c>
      <c r="D295" t="inlineStr">
        <is>
          <t>Hỏa tốc</t>
        </is>
      </c>
      <c r="E295" t="n">
        <v>10.1</v>
      </c>
      <c r="F295" s="2">
        <f>IFERROR(VLOOKUP(C295&amp;"|"&amp;D295,Bang_gia!$A$2:$B$10,2,FALSE),"Không tìm thấy mã/khu vực/dịch vụ")</f>
        <v/>
      </c>
      <c r="G295" t="inlineStr">
        <is>
          <t>Đang giao</t>
        </is>
      </c>
    </row>
    <row r="296">
      <c r="A296" t="inlineStr">
        <is>
          <t>FM000295</t>
        </is>
      </c>
      <c r="B296" t="inlineStr">
        <is>
          <t>2026-10-19</t>
        </is>
      </c>
      <c r="C296" t="inlineStr">
        <is>
          <t>Nội thành</t>
        </is>
      </c>
      <c r="D296" t="inlineStr">
        <is>
          <t>Hỏa tốc</t>
        </is>
      </c>
      <c r="E296" t="n">
        <v>18.9</v>
      </c>
      <c r="F296" s="2">
        <f>IFERROR(VLOOKUP(C296&amp;"|"&amp;D296,Bang_gia!$A$2:$B$10,2,FALSE),"Không tìm thấy mã/khu vực/dịch vụ")</f>
        <v/>
      </c>
      <c r="G296" t="inlineStr">
        <is>
          <t>Đã giao</t>
        </is>
      </c>
    </row>
    <row r="297">
      <c r="A297" t="inlineStr">
        <is>
          <t>FM000296</t>
        </is>
      </c>
      <c r="B297" t="inlineStr">
        <is>
          <t>2026-10-10</t>
        </is>
      </c>
      <c r="C297" t="inlineStr">
        <is>
          <t>Nội thành</t>
        </is>
      </c>
      <c r="D297" t="inlineStr">
        <is>
          <t>Tiêu chuẩn</t>
        </is>
      </c>
      <c r="E297" t="n">
        <v>5.5</v>
      </c>
      <c r="F297" s="2">
        <f>IFERROR(VLOOKUP(C297&amp;"|"&amp;D297,Bang_gia!$A$2:$B$10,2,FALSE),"Không tìm thấy mã/khu vực/dịch vụ")</f>
        <v/>
      </c>
      <c r="G297" t="inlineStr">
        <is>
          <t>Chờ xử lý</t>
        </is>
      </c>
    </row>
    <row r="298">
      <c r="A298" t="inlineStr">
        <is>
          <t>FM000297</t>
        </is>
      </c>
      <c r="B298" t="inlineStr">
        <is>
          <t>2026-10-04</t>
        </is>
      </c>
      <c r="C298" t="inlineStr">
        <is>
          <t>Ngoại thành</t>
        </is>
      </c>
      <c r="D298" t="inlineStr">
        <is>
          <t>Nhanh</t>
        </is>
      </c>
      <c r="E298" t="n">
        <v>14.2</v>
      </c>
      <c r="F298" s="2">
        <f>IFERROR(VLOOKUP(C298&amp;"|"&amp;D298,Bang_gia!$A$2:$B$10,2,FALSE),"Không tìm thấy mã/khu vực/dịch vụ")</f>
        <v/>
      </c>
      <c r="G298" t="inlineStr">
        <is>
          <t>Đã giao</t>
        </is>
      </c>
    </row>
    <row r="299">
      <c r="A299" t="inlineStr">
        <is>
          <t>FM000298</t>
        </is>
      </c>
      <c r="B299" t="inlineStr">
        <is>
          <t>2026-10-05</t>
        </is>
      </c>
      <c r="C299" t="inlineStr">
        <is>
          <t>Liên tỉnh</t>
        </is>
      </c>
      <c r="D299" t="inlineStr">
        <is>
          <t>Nhanh</t>
        </is>
      </c>
      <c r="E299" t="n">
        <v>20</v>
      </c>
      <c r="F299" s="2">
        <f>IFERROR(VLOOKUP(C299&amp;"|"&amp;D299,Bang_gia!$A$2:$B$10,2,FALSE),"Không tìm thấy mã/khu vực/dịch vụ")</f>
        <v/>
      </c>
      <c r="G299" t="inlineStr">
        <is>
          <t>Đang giao</t>
        </is>
      </c>
    </row>
    <row r="300">
      <c r="A300" t="inlineStr">
        <is>
          <t>FM000299</t>
        </is>
      </c>
      <c r="B300" t="inlineStr">
        <is>
          <t>2026-10-23</t>
        </is>
      </c>
      <c r="C300" t="inlineStr">
        <is>
          <t>Liên tỉnh</t>
        </is>
      </c>
      <c r="D300" t="inlineStr">
        <is>
          <t>Nhanh</t>
        </is>
      </c>
      <c r="E300" t="n">
        <v>16.4</v>
      </c>
      <c r="F300" s="2">
        <f>IFERROR(VLOOKUP(C300&amp;"|"&amp;D300,Bang_gia!$A$2:$B$10,2,FALSE),"Không tìm thấy mã/khu vực/dịch vụ")</f>
        <v/>
      </c>
      <c r="G300" t="inlineStr">
        <is>
          <t>Đã giao</t>
        </is>
      </c>
    </row>
    <row r="301">
      <c r="A301" t="inlineStr">
        <is>
          <t>FM000300</t>
        </is>
      </c>
      <c r="B301" t="inlineStr">
        <is>
          <t>2026-10-05</t>
        </is>
      </c>
      <c r="C301" t="inlineStr">
        <is>
          <t>Nội thành</t>
        </is>
      </c>
      <c r="D301" t="inlineStr">
        <is>
          <t>Tiêu chuẩn</t>
        </is>
      </c>
      <c r="E301" t="n">
        <v>11.6</v>
      </c>
      <c r="F301" s="2">
        <f>IFERROR(VLOOKUP(C301&amp;"|"&amp;D301,Bang_gia!$A$2:$B$10,2,FALSE),"Không tìm thấy mã/khu vực/dịch vụ")</f>
        <v/>
      </c>
      <c r="G301" t="inlineStr">
        <is>
          <t>Mới tạo</t>
        </is>
      </c>
    </row>
    <row r="302">
      <c r="A302" t="inlineStr">
        <is>
          <t>FM000301</t>
        </is>
      </c>
      <c r="B302" t="inlineStr">
        <is>
          <t>2026-10-18</t>
        </is>
      </c>
      <c r="C302" t="inlineStr">
        <is>
          <t>Liên tỉnh</t>
        </is>
      </c>
      <c r="D302" t="inlineStr">
        <is>
          <t>Tiêu chuẩn</t>
        </is>
      </c>
      <c r="E302" t="n">
        <v>16.1</v>
      </c>
      <c r="F302" s="2">
        <f>IFERROR(VLOOKUP(C302&amp;"|"&amp;D302,Bang_gia!$A$2:$B$10,2,FALSE),"Không tìm thấy mã/khu vực/dịch vụ")</f>
        <v/>
      </c>
      <c r="G302" t="inlineStr">
        <is>
          <t>Chờ xử lý</t>
        </is>
      </c>
    </row>
    <row r="303">
      <c r="A303" t="inlineStr">
        <is>
          <t>FM000302</t>
        </is>
      </c>
      <c r="B303" t="inlineStr">
        <is>
          <t>2026-10-17</t>
        </is>
      </c>
      <c r="C303" t="inlineStr">
        <is>
          <t>Ngoại thành</t>
        </is>
      </c>
      <c r="D303" t="inlineStr">
        <is>
          <t>Nhanh</t>
        </is>
      </c>
      <c r="E303" t="n">
        <v>19.4</v>
      </c>
      <c r="F303" s="2">
        <f>IFERROR(VLOOKUP(C303&amp;"|"&amp;D303,Bang_gia!$A$2:$B$10,2,FALSE),"Không tìm thấy mã/khu vực/dịch vụ")</f>
        <v/>
      </c>
      <c r="G303" t="inlineStr">
        <is>
          <t>Chờ xử lý</t>
        </is>
      </c>
    </row>
    <row r="304">
      <c r="A304" t="inlineStr">
        <is>
          <t>FM000303</t>
        </is>
      </c>
      <c r="B304" t="inlineStr">
        <is>
          <t>2026-10-21</t>
        </is>
      </c>
      <c r="C304" t="inlineStr">
        <is>
          <t>Nội thành</t>
        </is>
      </c>
      <c r="D304" t="inlineStr">
        <is>
          <t>Nhanh</t>
        </is>
      </c>
      <c r="E304" t="n">
        <v>6.4</v>
      </c>
      <c r="F304" s="2">
        <f>IFERROR(VLOOKUP(C304&amp;"|"&amp;D304,Bang_gia!$A$2:$B$10,2,FALSE),"Không tìm thấy mã/khu vực/dịch vụ")</f>
        <v/>
      </c>
      <c r="G304" t="inlineStr">
        <is>
          <t>Chờ xử lý</t>
        </is>
      </c>
    </row>
    <row r="305">
      <c r="A305" t="inlineStr">
        <is>
          <t>FM000304</t>
        </is>
      </c>
      <c r="B305" t="inlineStr">
        <is>
          <t>2026-10-22</t>
        </is>
      </c>
      <c r="C305" t="inlineStr">
        <is>
          <t>Ngoại thành</t>
        </is>
      </c>
      <c r="D305" t="inlineStr">
        <is>
          <t>Nhanh</t>
        </is>
      </c>
      <c r="E305" t="n">
        <v>18.5</v>
      </c>
      <c r="F305" s="2">
        <f>IFERROR(VLOOKUP(C305&amp;"|"&amp;D305,Bang_gia!$A$2:$B$10,2,FALSE),"Không tìm thấy mã/khu vực/dịch vụ")</f>
        <v/>
      </c>
      <c r="G305" t="inlineStr">
        <is>
          <t>Mới tạo</t>
        </is>
      </c>
    </row>
    <row r="306">
      <c r="A306" t="inlineStr">
        <is>
          <t>FM000305</t>
        </is>
      </c>
      <c r="B306" t="inlineStr">
        <is>
          <t>2026-10-09</t>
        </is>
      </c>
      <c r="C306" t="inlineStr">
        <is>
          <t>Liên tỉnh</t>
        </is>
      </c>
      <c r="D306" t="inlineStr">
        <is>
          <t>Tiêu chuẩn</t>
        </is>
      </c>
      <c r="E306" t="n">
        <v>17.7</v>
      </c>
      <c r="F306" s="2">
        <f>IFERROR(VLOOKUP(C306&amp;"|"&amp;D306,Bang_gia!$A$2:$B$10,2,FALSE),"Không tìm thấy mã/khu vực/dịch vụ")</f>
        <v/>
      </c>
      <c r="G306" t="inlineStr">
        <is>
          <t>Đã giao</t>
        </is>
      </c>
    </row>
    <row r="307">
      <c r="A307" t="inlineStr">
        <is>
          <t>FM000306</t>
        </is>
      </c>
      <c r="B307" t="inlineStr">
        <is>
          <t>2026-10-17</t>
        </is>
      </c>
      <c r="C307" t="inlineStr">
        <is>
          <t>Liên tỉnh</t>
        </is>
      </c>
      <c r="D307" t="inlineStr">
        <is>
          <t>Nhanh</t>
        </is>
      </c>
      <c r="E307" t="n">
        <v>3.2</v>
      </c>
      <c r="F307" s="2">
        <f>IFERROR(VLOOKUP(C307&amp;"|"&amp;D307,Bang_gia!$A$2:$B$10,2,FALSE),"Không tìm thấy mã/khu vực/dịch vụ")</f>
        <v/>
      </c>
      <c r="G307" t="inlineStr">
        <is>
          <t>Đã giao</t>
        </is>
      </c>
    </row>
    <row r="308">
      <c r="A308" t="inlineStr">
        <is>
          <t>FM000307</t>
        </is>
      </c>
      <c r="B308" t="inlineStr">
        <is>
          <t>2026-10-18</t>
        </is>
      </c>
      <c r="C308" t="inlineStr">
        <is>
          <t>Ngoại thành</t>
        </is>
      </c>
      <c r="D308" t="inlineStr">
        <is>
          <t>Hỏa tốc</t>
        </is>
      </c>
      <c r="E308" t="n">
        <v>14.9</v>
      </c>
      <c r="F308" s="2">
        <f>IFERROR(VLOOKUP(C308&amp;"|"&amp;D308,Bang_gia!$A$2:$B$10,2,FALSE),"Không tìm thấy mã/khu vực/dịch vụ")</f>
        <v/>
      </c>
      <c r="G308" t="inlineStr">
        <is>
          <t>Đang giao</t>
        </is>
      </c>
    </row>
    <row r="309">
      <c r="A309" t="inlineStr">
        <is>
          <t>FM000308</t>
        </is>
      </c>
      <c r="B309" t="inlineStr">
        <is>
          <t>2026-10-06</t>
        </is>
      </c>
      <c r="C309" t="inlineStr">
        <is>
          <t>Liên tỉnh</t>
        </is>
      </c>
      <c r="D309" t="inlineStr">
        <is>
          <t>Tiêu chuẩn</t>
        </is>
      </c>
      <c r="E309" t="n">
        <v>6.3</v>
      </c>
      <c r="F309" s="2">
        <f>IFERROR(VLOOKUP(C309&amp;"|"&amp;D309,Bang_gia!$A$2:$B$10,2,FALSE),"Không tìm thấy mã/khu vực/dịch vụ")</f>
        <v/>
      </c>
      <c r="G309" t="inlineStr">
        <is>
          <t>Đã giao</t>
        </is>
      </c>
    </row>
    <row r="310">
      <c r="A310" t="inlineStr">
        <is>
          <t>FM000309</t>
        </is>
      </c>
      <c r="B310" t="inlineStr">
        <is>
          <t>2026-10-03</t>
        </is>
      </c>
      <c r="C310" t="inlineStr">
        <is>
          <t>Liên tỉnh</t>
        </is>
      </c>
      <c r="D310" t="inlineStr">
        <is>
          <t>Tiêu chuẩn</t>
        </is>
      </c>
      <c r="E310" t="n">
        <v>13.5</v>
      </c>
      <c r="F310" s="2">
        <f>IFERROR(VLOOKUP(C310&amp;"|"&amp;D310,Bang_gia!$A$2:$B$10,2,FALSE),"Không tìm thấy mã/khu vực/dịch vụ")</f>
        <v/>
      </c>
      <c r="G310" t="inlineStr">
        <is>
          <t>Chờ xử lý</t>
        </is>
      </c>
    </row>
    <row r="311">
      <c r="A311" t="inlineStr">
        <is>
          <t>FM000310</t>
        </is>
      </c>
      <c r="B311" t="inlineStr">
        <is>
          <t>2026-10-06</t>
        </is>
      </c>
      <c r="C311" t="inlineStr">
        <is>
          <t>Ngoại thành</t>
        </is>
      </c>
      <c r="D311" t="inlineStr">
        <is>
          <t>Tiêu chuẩn</t>
        </is>
      </c>
      <c r="E311" t="n">
        <v>8</v>
      </c>
      <c r="F311" s="2">
        <f>IFERROR(VLOOKUP(C311&amp;"|"&amp;D311,Bang_gia!$A$2:$B$10,2,FALSE),"Không tìm thấy mã/khu vực/dịch vụ")</f>
        <v/>
      </c>
      <c r="G311" t="inlineStr">
        <is>
          <t>Mới tạo</t>
        </is>
      </c>
    </row>
    <row r="312">
      <c r="A312" t="inlineStr">
        <is>
          <t>FM000311</t>
        </is>
      </c>
      <c r="B312" t="inlineStr">
        <is>
          <t>2026-10-03</t>
        </is>
      </c>
      <c r="C312" t="inlineStr">
        <is>
          <t>Liên tỉnh</t>
        </is>
      </c>
      <c r="D312" t="inlineStr">
        <is>
          <t>Tiêu chuẩn</t>
        </is>
      </c>
      <c r="E312" t="n">
        <v>5.1</v>
      </c>
      <c r="F312" s="2">
        <f>IFERROR(VLOOKUP(C312&amp;"|"&amp;D312,Bang_gia!$A$2:$B$10,2,FALSE),"Không tìm thấy mã/khu vực/dịch vụ")</f>
        <v/>
      </c>
      <c r="G312" t="inlineStr">
        <is>
          <t>Chờ xử lý</t>
        </is>
      </c>
    </row>
    <row r="313">
      <c r="A313" t="inlineStr">
        <is>
          <t>FM000312</t>
        </is>
      </c>
      <c r="B313" t="inlineStr">
        <is>
          <t>2026-10-15</t>
        </is>
      </c>
      <c r="C313" t="inlineStr">
        <is>
          <t>Nội thành</t>
        </is>
      </c>
      <c r="D313" t="inlineStr">
        <is>
          <t>Tiêu chuẩn</t>
        </is>
      </c>
      <c r="E313" t="n">
        <v>15.2</v>
      </c>
      <c r="F313" s="2">
        <f>IFERROR(VLOOKUP(C313&amp;"|"&amp;D313,Bang_gia!$A$2:$B$10,2,FALSE),"Không tìm thấy mã/khu vực/dịch vụ")</f>
        <v/>
      </c>
      <c r="G313" t="inlineStr">
        <is>
          <t>Đang giao</t>
        </is>
      </c>
    </row>
    <row r="314">
      <c r="A314" t="inlineStr">
        <is>
          <t>FM000313</t>
        </is>
      </c>
      <c r="B314" t="inlineStr">
        <is>
          <t>2026-10-11</t>
        </is>
      </c>
      <c r="C314" t="inlineStr">
        <is>
          <t>Ngoại thành</t>
        </is>
      </c>
      <c r="D314" t="inlineStr">
        <is>
          <t>Tiêu chuẩn</t>
        </is>
      </c>
      <c r="E314" t="n">
        <v>5.8</v>
      </c>
      <c r="F314" s="2">
        <f>IFERROR(VLOOKUP(C314&amp;"|"&amp;D314,Bang_gia!$A$2:$B$10,2,FALSE),"Không tìm thấy mã/khu vực/dịch vụ")</f>
        <v/>
      </c>
      <c r="G314" t="inlineStr">
        <is>
          <t>Mới tạo</t>
        </is>
      </c>
    </row>
    <row r="315">
      <c r="A315" t="inlineStr">
        <is>
          <t>FM000314</t>
        </is>
      </c>
      <c r="B315" t="inlineStr">
        <is>
          <t>2026-10-16</t>
        </is>
      </c>
      <c r="C315" t="inlineStr">
        <is>
          <t>Ngoại thành</t>
        </is>
      </c>
      <c r="D315" t="inlineStr">
        <is>
          <t>Hỏa tốc</t>
        </is>
      </c>
      <c r="E315" t="n">
        <v>5.7</v>
      </c>
      <c r="F315" s="2">
        <f>IFERROR(VLOOKUP(C315&amp;"|"&amp;D315,Bang_gia!$A$2:$B$10,2,FALSE),"Không tìm thấy mã/khu vực/dịch vụ")</f>
        <v/>
      </c>
      <c r="G315" t="inlineStr">
        <is>
          <t>Đã giao</t>
        </is>
      </c>
    </row>
    <row r="316">
      <c r="A316" t="inlineStr">
        <is>
          <t>FM000315</t>
        </is>
      </c>
      <c r="B316" t="inlineStr">
        <is>
          <t>2026-10-02</t>
        </is>
      </c>
      <c r="C316" t="inlineStr">
        <is>
          <t>Ngoại thành</t>
        </is>
      </c>
      <c r="D316" t="inlineStr">
        <is>
          <t>Tiêu chuẩn</t>
        </is>
      </c>
      <c r="E316" t="n">
        <v>0.8</v>
      </c>
      <c r="F316" s="2">
        <f>IFERROR(VLOOKUP(C316&amp;"|"&amp;D316,Bang_gia!$A$2:$B$10,2,FALSE),"Không tìm thấy mã/khu vực/dịch vụ")</f>
        <v/>
      </c>
      <c r="G316" t="inlineStr">
        <is>
          <t>Đã giao</t>
        </is>
      </c>
    </row>
    <row r="317">
      <c r="A317" t="inlineStr">
        <is>
          <t>FM000316</t>
        </is>
      </c>
      <c r="B317" t="inlineStr">
        <is>
          <t>2026-10-10</t>
        </is>
      </c>
      <c r="C317" t="inlineStr">
        <is>
          <t>Nội thành</t>
        </is>
      </c>
      <c r="D317" t="inlineStr">
        <is>
          <t>Hỏa tốc</t>
        </is>
      </c>
      <c r="E317" t="n">
        <v>4.8</v>
      </c>
      <c r="F317" s="2">
        <f>IFERROR(VLOOKUP(C317&amp;"|"&amp;D317,Bang_gia!$A$2:$B$10,2,FALSE),"Không tìm thấy mã/khu vực/dịch vụ")</f>
        <v/>
      </c>
      <c r="G317" t="inlineStr">
        <is>
          <t>Đã giao</t>
        </is>
      </c>
    </row>
    <row r="318">
      <c r="A318" t="inlineStr">
        <is>
          <t>FM000317</t>
        </is>
      </c>
      <c r="B318" t="inlineStr">
        <is>
          <t>2026-10-23</t>
        </is>
      </c>
      <c r="C318" t="inlineStr">
        <is>
          <t>Liên tỉnh</t>
        </is>
      </c>
      <c r="D318" t="inlineStr">
        <is>
          <t>Tiêu chuẩn</t>
        </is>
      </c>
      <c r="E318" t="n">
        <v>4.4</v>
      </c>
      <c r="F318" s="2">
        <f>IFERROR(VLOOKUP(C318&amp;"|"&amp;D318,Bang_gia!$A$2:$B$10,2,FALSE),"Không tìm thấy mã/khu vực/dịch vụ")</f>
        <v/>
      </c>
      <c r="G318" t="inlineStr">
        <is>
          <t>Đã giao</t>
        </is>
      </c>
    </row>
    <row r="319">
      <c r="A319" t="inlineStr">
        <is>
          <t>FM000318</t>
        </is>
      </c>
      <c r="B319" t="inlineStr">
        <is>
          <t>2026-10-22</t>
        </is>
      </c>
      <c r="C319" t="inlineStr">
        <is>
          <t>Liên tỉnh</t>
        </is>
      </c>
      <c r="D319" t="inlineStr">
        <is>
          <t>Tiêu chuẩn</t>
        </is>
      </c>
      <c r="E319" t="n">
        <v>0.6</v>
      </c>
      <c r="F319" s="2">
        <f>IFERROR(VLOOKUP(C319&amp;"|"&amp;D319,Bang_gia!$A$2:$B$10,2,FALSE),"Không tìm thấy mã/khu vực/dịch vụ")</f>
        <v/>
      </c>
      <c r="G319" t="inlineStr">
        <is>
          <t>Mới tạo</t>
        </is>
      </c>
    </row>
    <row r="320">
      <c r="A320" t="inlineStr">
        <is>
          <t>FM000319</t>
        </is>
      </c>
      <c r="B320" t="inlineStr">
        <is>
          <t>2026-10-06</t>
        </is>
      </c>
      <c r="C320" t="inlineStr">
        <is>
          <t>Liên tỉnh</t>
        </is>
      </c>
      <c r="D320" t="inlineStr">
        <is>
          <t>Nhanh</t>
        </is>
      </c>
      <c r="E320" t="n">
        <v>4.4</v>
      </c>
      <c r="F320" s="2">
        <f>IFERROR(VLOOKUP(C320&amp;"|"&amp;D320,Bang_gia!$A$2:$B$10,2,FALSE),"Không tìm thấy mã/khu vực/dịch vụ")</f>
        <v/>
      </c>
      <c r="G320" t="inlineStr">
        <is>
          <t>Đang giao</t>
        </is>
      </c>
    </row>
    <row r="321">
      <c r="A321" t="inlineStr">
        <is>
          <t>FM000320</t>
        </is>
      </c>
      <c r="B321" t="inlineStr">
        <is>
          <t>2026-10-15</t>
        </is>
      </c>
      <c r="C321" t="inlineStr">
        <is>
          <t>Nội thành</t>
        </is>
      </c>
      <c r="D321" t="inlineStr">
        <is>
          <t>Nhanh</t>
        </is>
      </c>
      <c r="E321" t="n">
        <v>7</v>
      </c>
      <c r="F321" s="2">
        <f>IFERROR(VLOOKUP(C321&amp;"|"&amp;D321,Bang_gia!$A$2:$B$10,2,FALSE),"Không tìm thấy mã/khu vực/dịch vụ")</f>
        <v/>
      </c>
      <c r="G321" t="inlineStr">
        <is>
          <t>Mới tạo</t>
        </is>
      </c>
    </row>
    <row r="322">
      <c r="A322" t="inlineStr">
        <is>
          <t>FM000321</t>
        </is>
      </c>
      <c r="B322" t="inlineStr">
        <is>
          <t>2026-10-15</t>
        </is>
      </c>
      <c r="C322" t="inlineStr">
        <is>
          <t>Liên tỉnh</t>
        </is>
      </c>
      <c r="D322" t="inlineStr">
        <is>
          <t>Tiêu chuẩn</t>
        </is>
      </c>
      <c r="E322" t="n">
        <v>12.2</v>
      </c>
      <c r="F322" s="2">
        <f>IFERROR(VLOOKUP(C322&amp;"|"&amp;D322,Bang_gia!$A$2:$B$10,2,FALSE),"Không tìm thấy mã/khu vực/dịch vụ")</f>
        <v/>
      </c>
      <c r="G322" t="inlineStr">
        <is>
          <t>Mới tạo</t>
        </is>
      </c>
    </row>
    <row r="323">
      <c r="A323" t="inlineStr">
        <is>
          <t>FM000322</t>
        </is>
      </c>
      <c r="B323" t="inlineStr">
        <is>
          <t>2026-10-02</t>
        </is>
      </c>
      <c r="C323" t="inlineStr">
        <is>
          <t>Liên tỉnh</t>
        </is>
      </c>
      <c r="D323" t="inlineStr">
        <is>
          <t>Nhanh</t>
        </is>
      </c>
      <c r="E323" t="n">
        <v>6</v>
      </c>
      <c r="F323" s="2">
        <f>IFERROR(VLOOKUP(C323&amp;"|"&amp;D323,Bang_gia!$A$2:$B$10,2,FALSE),"Không tìm thấy mã/khu vực/dịch vụ")</f>
        <v/>
      </c>
      <c r="G323" t="inlineStr">
        <is>
          <t>Mới tạo</t>
        </is>
      </c>
    </row>
    <row r="324">
      <c r="A324" t="inlineStr">
        <is>
          <t>FM000323</t>
        </is>
      </c>
      <c r="B324" t="inlineStr">
        <is>
          <t>2026-10-20</t>
        </is>
      </c>
      <c r="C324" t="inlineStr">
        <is>
          <t>Ngoại thành</t>
        </is>
      </c>
      <c r="D324" t="inlineStr">
        <is>
          <t>Tiêu chuẩn</t>
        </is>
      </c>
      <c r="E324" t="n">
        <v>19.7</v>
      </c>
      <c r="F324" s="2">
        <f>IFERROR(VLOOKUP(C324&amp;"|"&amp;D324,Bang_gia!$A$2:$B$10,2,FALSE),"Không tìm thấy mã/khu vực/dịch vụ")</f>
        <v/>
      </c>
      <c r="G324" t="inlineStr">
        <is>
          <t>Chờ xử lý</t>
        </is>
      </c>
    </row>
    <row r="325">
      <c r="A325" t="inlineStr">
        <is>
          <t>FM000324</t>
        </is>
      </c>
      <c r="B325" t="inlineStr">
        <is>
          <t>2026-10-19</t>
        </is>
      </c>
      <c r="C325" t="inlineStr">
        <is>
          <t>Liên tỉnh</t>
        </is>
      </c>
      <c r="D325" t="inlineStr">
        <is>
          <t>Nhanh</t>
        </is>
      </c>
      <c r="E325" t="n">
        <v>6.4</v>
      </c>
      <c r="F325" s="2">
        <f>IFERROR(VLOOKUP(C325&amp;"|"&amp;D325,Bang_gia!$A$2:$B$10,2,FALSE),"Không tìm thấy mã/khu vực/dịch vụ")</f>
        <v/>
      </c>
      <c r="G325" t="inlineStr">
        <is>
          <t>Chờ xử lý</t>
        </is>
      </c>
    </row>
    <row r="326">
      <c r="A326" t="inlineStr">
        <is>
          <t>FM000325</t>
        </is>
      </c>
      <c r="B326" t="inlineStr">
        <is>
          <t>2026-10-08</t>
        </is>
      </c>
      <c r="C326" t="inlineStr">
        <is>
          <t>Liên tỉnh</t>
        </is>
      </c>
      <c r="D326" t="inlineStr">
        <is>
          <t>Hỏa tốc</t>
        </is>
      </c>
      <c r="E326" t="n">
        <v>13.8</v>
      </c>
      <c r="F326" s="2">
        <f>IFERROR(VLOOKUP(C326&amp;"|"&amp;D326,Bang_gia!$A$2:$B$10,2,FALSE),"Không tìm thấy mã/khu vực/dịch vụ")</f>
        <v/>
      </c>
      <c r="G326" t="inlineStr">
        <is>
          <t>Mới tạo</t>
        </is>
      </c>
    </row>
    <row r="327">
      <c r="A327" t="inlineStr">
        <is>
          <t>FM000326</t>
        </is>
      </c>
      <c r="B327" t="inlineStr">
        <is>
          <t>2026-10-08</t>
        </is>
      </c>
      <c r="C327" t="inlineStr">
        <is>
          <t>Nội thành</t>
        </is>
      </c>
      <c r="D327" t="inlineStr">
        <is>
          <t>Hỏa tốc</t>
        </is>
      </c>
      <c r="E327" t="n">
        <v>6.3</v>
      </c>
      <c r="F327" s="2">
        <f>IFERROR(VLOOKUP(C327&amp;"|"&amp;D327,Bang_gia!$A$2:$B$10,2,FALSE),"Không tìm thấy mã/khu vực/dịch vụ")</f>
        <v/>
      </c>
      <c r="G327" t="inlineStr">
        <is>
          <t>Đang giao</t>
        </is>
      </c>
    </row>
    <row r="328">
      <c r="A328" t="inlineStr">
        <is>
          <t>FM000327</t>
        </is>
      </c>
      <c r="B328" t="inlineStr">
        <is>
          <t>2026-10-07</t>
        </is>
      </c>
      <c r="C328" t="inlineStr">
        <is>
          <t>Nội thành</t>
        </is>
      </c>
      <c r="D328" t="inlineStr">
        <is>
          <t>Nhanh</t>
        </is>
      </c>
      <c r="E328" t="n">
        <v>13.1</v>
      </c>
      <c r="F328" s="2">
        <f>IFERROR(VLOOKUP(C328&amp;"|"&amp;D328,Bang_gia!$A$2:$B$10,2,FALSE),"Không tìm thấy mã/khu vực/dịch vụ")</f>
        <v/>
      </c>
      <c r="G328" t="inlineStr">
        <is>
          <t>Chờ xử lý</t>
        </is>
      </c>
    </row>
    <row r="329">
      <c r="A329" t="inlineStr">
        <is>
          <t>FM000328</t>
        </is>
      </c>
      <c r="B329" t="inlineStr">
        <is>
          <t>2026-10-05</t>
        </is>
      </c>
      <c r="C329" t="inlineStr">
        <is>
          <t>Ngoại thành</t>
        </is>
      </c>
      <c r="D329" t="inlineStr">
        <is>
          <t>Nhanh</t>
        </is>
      </c>
      <c r="E329" t="n">
        <v>2.4</v>
      </c>
      <c r="F329" s="2">
        <f>IFERROR(VLOOKUP(C329&amp;"|"&amp;D329,Bang_gia!$A$2:$B$10,2,FALSE),"Không tìm thấy mã/khu vực/dịch vụ")</f>
        <v/>
      </c>
      <c r="G329" t="inlineStr">
        <is>
          <t>Đang giao</t>
        </is>
      </c>
    </row>
    <row r="330">
      <c r="A330" t="inlineStr">
        <is>
          <t>FM000329</t>
        </is>
      </c>
      <c r="B330" t="inlineStr">
        <is>
          <t>2026-10-22</t>
        </is>
      </c>
      <c r="C330" t="inlineStr">
        <is>
          <t>Nội thành</t>
        </is>
      </c>
      <c r="D330" t="inlineStr">
        <is>
          <t>Hỏa tốc</t>
        </is>
      </c>
      <c r="E330" t="n">
        <v>10.2</v>
      </c>
      <c r="F330" s="2">
        <f>IFERROR(VLOOKUP(C330&amp;"|"&amp;D330,Bang_gia!$A$2:$B$10,2,FALSE),"Không tìm thấy mã/khu vực/dịch vụ")</f>
        <v/>
      </c>
      <c r="G330" t="inlineStr">
        <is>
          <t>Đang giao</t>
        </is>
      </c>
    </row>
    <row r="331">
      <c r="A331" t="inlineStr">
        <is>
          <t>FM000330</t>
        </is>
      </c>
      <c r="B331" t="inlineStr">
        <is>
          <t>2026-10-19</t>
        </is>
      </c>
      <c r="C331" t="inlineStr">
        <is>
          <t>Nội thành</t>
        </is>
      </c>
      <c r="D331" t="inlineStr">
        <is>
          <t>Tiêu chuẩn</t>
        </is>
      </c>
      <c r="E331" t="n">
        <v>10.9</v>
      </c>
      <c r="F331" s="2">
        <f>IFERROR(VLOOKUP(C331&amp;"|"&amp;D331,Bang_gia!$A$2:$B$10,2,FALSE),"Không tìm thấy mã/khu vực/dịch vụ")</f>
        <v/>
      </c>
      <c r="G331" t="inlineStr">
        <is>
          <t>Đã giao</t>
        </is>
      </c>
    </row>
    <row r="332">
      <c r="A332" t="inlineStr">
        <is>
          <t>FM000331</t>
        </is>
      </c>
      <c r="B332" t="inlineStr">
        <is>
          <t>2026-10-10</t>
        </is>
      </c>
      <c r="C332" t="inlineStr">
        <is>
          <t>Nội thành</t>
        </is>
      </c>
      <c r="D332" t="inlineStr">
        <is>
          <t>Hỏa tốc</t>
        </is>
      </c>
      <c r="E332" t="n">
        <v>16.9</v>
      </c>
      <c r="F332" s="2">
        <f>IFERROR(VLOOKUP(C332&amp;"|"&amp;D332,Bang_gia!$A$2:$B$10,2,FALSE),"Không tìm thấy mã/khu vực/dịch vụ")</f>
        <v/>
      </c>
      <c r="G332" t="inlineStr">
        <is>
          <t>Đang giao</t>
        </is>
      </c>
    </row>
    <row r="333">
      <c r="A333" t="inlineStr">
        <is>
          <t>FM000332</t>
        </is>
      </c>
      <c r="B333" t="inlineStr">
        <is>
          <t>2026-10-20</t>
        </is>
      </c>
      <c r="C333" t="inlineStr">
        <is>
          <t>Ngoại thành</t>
        </is>
      </c>
      <c r="D333" t="inlineStr">
        <is>
          <t>Hỏa tốc</t>
        </is>
      </c>
      <c r="E333" t="n">
        <v>15.7</v>
      </c>
      <c r="F333" s="2">
        <f>IFERROR(VLOOKUP(C333&amp;"|"&amp;D333,Bang_gia!$A$2:$B$10,2,FALSE),"Không tìm thấy mã/khu vực/dịch vụ")</f>
        <v/>
      </c>
      <c r="G333" t="inlineStr">
        <is>
          <t>Đã giao</t>
        </is>
      </c>
    </row>
    <row r="334">
      <c r="A334" t="inlineStr">
        <is>
          <t>FM000333</t>
        </is>
      </c>
      <c r="B334" t="inlineStr">
        <is>
          <t>2026-10-18</t>
        </is>
      </c>
      <c r="C334" t="inlineStr">
        <is>
          <t>Ngoại thành</t>
        </is>
      </c>
      <c r="D334" t="inlineStr">
        <is>
          <t>Hỏa tốc</t>
        </is>
      </c>
      <c r="E334" t="n">
        <v>8.4</v>
      </c>
      <c r="F334" s="2">
        <f>IFERROR(VLOOKUP(C334&amp;"|"&amp;D334,Bang_gia!$A$2:$B$10,2,FALSE),"Không tìm thấy mã/khu vực/dịch vụ")</f>
        <v/>
      </c>
      <c r="G334" t="inlineStr">
        <is>
          <t>Đã giao</t>
        </is>
      </c>
    </row>
    <row r="335">
      <c r="A335" t="inlineStr">
        <is>
          <t>FM000334</t>
        </is>
      </c>
      <c r="B335" t="inlineStr">
        <is>
          <t>2026-10-25</t>
        </is>
      </c>
      <c r="C335" t="inlineStr">
        <is>
          <t>Liên tỉnh</t>
        </is>
      </c>
      <c r="D335" t="inlineStr">
        <is>
          <t>Nhanh</t>
        </is>
      </c>
      <c r="E335" t="n">
        <v>13.7</v>
      </c>
      <c r="F335" s="2">
        <f>IFERROR(VLOOKUP(C335&amp;"|"&amp;D335,Bang_gia!$A$2:$B$10,2,FALSE),"Không tìm thấy mã/khu vực/dịch vụ")</f>
        <v/>
      </c>
      <c r="G335" t="inlineStr">
        <is>
          <t>Mới tạo</t>
        </is>
      </c>
    </row>
    <row r="336">
      <c r="A336" t="inlineStr">
        <is>
          <t>FM000335</t>
        </is>
      </c>
      <c r="B336" t="inlineStr">
        <is>
          <t>2026-10-22</t>
        </is>
      </c>
      <c r="C336" t="inlineStr">
        <is>
          <t>Nội thành</t>
        </is>
      </c>
      <c r="D336" t="inlineStr">
        <is>
          <t>Tiêu chuẩn</t>
        </is>
      </c>
      <c r="E336" t="n">
        <v>1.5</v>
      </c>
      <c r="F336" s="2">
        <f>IFERROR(VLOOKUP(C336&amp;"|"&amp;D336,Bang_gia!$A$2:$B$10,2,FALSE),"Không tìm thấy mã/khu vực/dịch vụ")</f>
        <v/>
      </c>
      <c r="G336" t="inlineStr">
        <is>
          <t>Đang giao</t>
        </is>
      </c>
    </row>
    <row r="337">
      <c r="A337" t="inlineStr">
        <is>
          <t>FM000336</t>
        </is>
      </c>
      <c r="B337" t="inlineStr">
        <is>
          <t>2026-10-17</t>
        </is>
      </c>
      <c r="C337" t="inlineStr">
        <is>
          <t>Nội thành</t>
        </is>
      </c>
      <c r="D337" t="inlineStr">
        <is>
          <t>Hỏa tốc</t>
        </is>
      </c>
      <c r="E337" t="n">
        <v>11.3</v>
      </c>
      <c r="F337" s="2">
        <f>IFERROR(VLOOKUP(C337&amp;"|"&amp;D337,Bang_gia!$A$2:$B$10,2,FALSE),"Không tìm thấy mã/khu vực/dịch vụ")</f>
        <v/>
      </c>
      <c r="G337" t="inlineStr">
        <is>
          <t>Đang giao</t>
        </is>
      </c>
    </row>
    <row r="338">
      <c r="A338" t="inlineStr">
        <is>
          <t>FM000337</t>
        </is>
      </c>
      <c r="B338" t="inlineStr">
        <is>
          <t>2026-10-07</t>
        </is>
      </c>
      <c r="C338" t="inlineStr">
        <is>
          <t>Nội thành</t>
        </is>
      </c>
      <c r="D338" t="inlineStr">
        <is>
          <t>Hỏa tốc</t>
        </is>
      </c>
      <c r="E338" t="n">
        <v>3.2</v>
      </c>
      <c r="F338" s="2">
        <f>IFERROR(VLOOKUP(C338&amp;"|"&amp;D338,Bang_gia!$A$2:$B$10,2,FALSE),"Không tìm thấy mã/khu vực/dịch vụ")</f>
        <v/>
      </c>
      <c r="G338" t="inlineStr">
        <is>
          <t>Chờ xử lý</t>
        </is>
      </c>
    </row>
    <row r="339">
      <c r="A339" t="inlineStr">
        <is>
          <t>FM000338</t>
        </is>
      </c>
      <c r="B339" t="inlineStr">
        <is>
          <t>2026-10-17</t>
        </is>
      </c>
      <c r="C339" t="inlineStr">
        <is>
          <t>Ngoại thành</t>
        </is>
      </c>
      <c r="D339" t="inlineStr">
        <is>
          <t>Tiêu chuẩn</t>
        </is>
      </c>
      <c r="E339" t="n">
        <v>13.2</v>
      </c>
      <c r="F339" s="2">
        <f>IFERROR(VLOOKUP(C339&amp;"|"&amp;D339,Bang_gia!$A$2:$B$10,2,FALSE),"Không tìm thấy mã/khu vực/dịch vụ")</f>
        <v/>
      </c>
      <c r="G339" t="inlineStr">
        <is>
          <t>Đã giao</t>
        </is>
      </c>
    </row>
    <row r="340">
      <c r="A340" t="inlineStr">
        <is>
          <t>FM000339</t>
        </is>
      </c>
      <c r="B340" t="inlineStr">
        <is>
          <t>2026-10-10</t>
        </is>
      </c>
      <c r="C340" t="inlineStr">
        <is>
          <t>Liên tỉnh</t>
        </is>
      </c>
      <c r="D340" t="inlineStr">
        <is>
          <t>Tiêu chuẩn</t>
        </is>
      </c>
      <c r="E340" t="n">
        <v>11.1</v>
      </c>
      <c r="F340" s="2">
        <f>IFERROR(VLOOKUP(C340&amp;"|"&amp;D340,Bang_gia!$A$2:$B$10,2,FALSE),"Không tìm thấy mã/khu vực/dịch vụ")</f>
        <v/>
      </c>
      <c r="G340" t="inlineStr">
        <is>
          <t>Mới tạo</t>
        </is>
      </c>
    </row>
    <row r="341">
      <c r="A341" t="inlineStr">
        <is>
          <t>FM000340</t>
        </is>
      </c>
      <c r="B341" t="inlineStr">
        <is>
          <t>2026-10-14</t>
        </is>
      </c>
      <c r="C341" t="inlineStr">
        <is>
          <t>Liên tỉnh</t>
        </is>
      </c>
      <c r="D341" t="inlineStr">
        <is>
          <t>Hỏa tốc</t>
        </is>
      </c>
      <c r="E341" t="n">
        <v>2.2</v>
      </c>
      <c r="F341" s="2">
        <f>IFERROR(VLOOKUP(C341&amp;"|"&amp;D341,Bang_gia!$A$2:$B$10,2,FALSE),"Không tìm thấy mã/khu vực/dịch vụ")</f>
        <v/>
      </c>
      <c r="G341" t="inlineStr">
        <is>
          <t>Đã giao</t>
        </is>
      </c>
    </row>
    <row r="342">
      <c r="A342" t="inlineStr">
        <is>
          <t>FM000341</t>
        </is>
      </c>
      <c r="B342" t="inlineStr">
        <is>
          <t>2026-10-17</t>
        </is>
      </c>
      <c r="C342" t="inlineStr">
        <is>
          <t>Ngoại thành</t>
        </is>
      </c>
      <c r="D342" t="inlineStr">
        <is>
          <t>Tiêu chuẩn</t>
        </is>
      </c>
      <c r="E342" t="n">
        <v>7.1</v>
      </c>
      <c r="F342" s="2">
        <f>IFERROR(VLOOKUP(C342&amp;"|"&amp;D342,Bang_gia!$A$2:$B$10,2,FALSE),"Không tìm thấy mã/khu vực/dịch vụ")</f>
        <v/>
      </c>
      <c r="G342" t="inlineStr">
        <is>
          <t>Đã giao</t>
        </is>
      </c>
    </row>
    <row r="343">
      <c r="A343" t="inlineStr">
        <is>
          <t>FM000342</t>
        </is>
      </c>
      <c r="B343" t="inlineStr">
        <is>
          <t>2026-10-02</t>
        </is>
      </c>
      <c r="C343" t="inlineStr">
        <is>
          <t>Liên tỉnh</t>
        </is>
      </c>
      <c r="D343" t="inlineStr">
        <is>
          <t>Nhanh</t>
        </is>
      </c>
      <c r="E343" t="n">
        <v>11.6</v>
      </c>
      <c r="F343" s="2">
        <f>IFERROR(VLOOKUP(C343&amp;"|"&amp;D343,Bang_gia!$A$2:$B$10,2,FALSE),"Không tìm thấy mã/khu vực/dịch vụ")</f>
        <v/>
      </c>
      <c r="G343" t="inlineStr">
        <is>
          <t>Đã giao</t>
        </is>
      </c>
    </row>
    <row r="344">
      <c r="A344" t="inlineStr">
        <is>
          <t>FM000343</t>
        </is>
      </c>
      <c r="B344" t="inlineStr">
        <is>
          <t>2026-10-08</t>
        </is>
      </c>
      <c r="C344" t="inlineStr">
        <is>
          <t>Liên tỉnh</t>
        </is>
      </c>
      <c r="D344" t="inlineStr">
        <is>
          <t>Hỏa tốc</t>
        </is>
      </c>
      <c r="E344" t="n">
        <v>11.1</v>
      </c>
      <c r="F344" s="2">
        <f>IFERROR(VLOOKUP(C344&amp;"|"&amp;D344,Bang_gia!$A$2:$B$10,2,FALSE),"Không tìm thấy mã/khu vực/dịch vụ")</f>
        <v/>
      </c>
      <c r="G344" t="inlineStr">
        <is>
          <t>Mới tạo</t>
        </is>
      </c>
    </row>
    <row r="345">
      <c r="A345" t="inlineStr">
        <is>
          <t>FM000344</t>
        </is>
      </c>
      <c r="B345" t="inlineStr">
        <is>
          <t>2026-10-25</t>
        </is>
      </c>
      <c r="C345" t="inlineStr">
        <is>
          <t>Ngoại thành</t>
        </is>
      </c>
      <c r="D345" t="inlineStr">
        <is>
          <t>Tiêu chuẩn</t>
        </is>
      </c>
      <c r="E345" t="n">
        <v>5.1</v>
      </c>
      <c r="F345" s="2">
        <f>IFERROR(VLOOKUP(C345&amp;"|"&amp;D345,Bang_gia!$A$2:$B$10,2,FALSE),"Không tìm thấy mã/khu vực/dịch vụ")</f>
        <v/>
      </c>
      <c r="G345" t="inlineStr">
        <is>
          <t>Mới tạo</t>
        </is>
      </c>
    </row>
    <row r="346">
      <c r="A346" t="inlineStr">
        <is>
          <t>FM000345</t>
        </is>
      </c>
      <c r="B346" t="inlineStr">
        <is>
          <t>2026-10-24</t>
        </is>
      </c>
      <c r="C346" t="inlineStr">
        <is>
          <t>Nội thành</t>
        </is>
      </c>
      <c r="D346" t="inlineStr">
        <is>
          <t>Nhanh</t>
        </is>
      </c>
      <c r="E346" t="n">
        <v>9.300000000000001</v>
      </c>
      <c r="F346" s="2">
        <f>IFERROR(VLOOKUP(C346&amp;"|"&amp;D346,Bang_gia!$A$2:$B$10,2,FALSE),"Không tìm thấy mã/khu vực/dịch vụ")</f>
        <v/>
      </c>
      <c r="G346" t="inlineStr">
        <is>
          <t>Mới tạo</t>
        </is>
      </c>
    </row>
    <row r="347">
      <c r="A347" t="inlineStr">
        <is>
          <t>FM000346</t>
        </is>
      </c>
      <c r="B347" t="inlineStr">
        <is>
          <t>2026-10-21</t>
        </is>
      </c>
      <c r="C347" t="inlineStr">
        <is>
          <t>Nội thành</t>
        </is>
      </c>
      <c r="D347" t="inlineStr">
        <is>
          <t>Hỏa tốc</t>
        </is>
      </c>
      <c r="E347" t="n">
        <v>10.2</v>
      </c>
      <c r="F347" s="2">
        <f>IFERROR(VLOOKUP(C347&amp;"|"&amp;D347,Bang_gia!$A$2:$B$10,2,FALSE),"Không tìm thấy mã/khu vực/dịch vụ")</f>
        <v/>
      </c>
      <c r="G347" t="inlineStr">
        <is>
          <t>Mới tạo</t>
        </is>
      </c>
    </row>
    <row r="348">
      <c r="A348" t="inlineStr">
        <is>
          <t>FM000347</t>
        </is>
      </c>
      <c r="B348" t="inlineStr">
        <is>
          <t>2026-10-11</t>
        </is>
      </c>
      <c r="C348" t="inlineStr">
        <is>
          <t>Nội thành</t>
        </is>
      </c>
      <c r="D348" t="inlineStr">
        <is>
          <t>Tiêu chuẩn</t>
        </is>
      </c>
      <c r="E348" t="n">
        <v>10.7</v>
      </c>
      <c r="F348" s="2">
        <f>IFERROR(VLOOKUP(C348&amp;"|"&amp;D348,Bang_gia!$A$2:$B$10,2,FALSE),"Không tìm thấy mã/khu vực/dịch vụ")</f>
        <v/>
      </c>
      <c r="G348" t="inlineStr">
        <is>
          <t>Đã giao</t>
        </is>
      </c>
    </row>
    <row r="349">
      <c r="A349" t="inlineStr">
        <is>
          <t>FM000348</t>
        </is>
      </c>
      <c r="B349" t="inlineStr">
        <is>
          <t>2026-10-24</t>
        </is>
      </c>
      <c r="C349" t="inlineStr">
        <is>
          <t>Nội thành</t>
        </is>
      </c>
      <c r="D349" t="inlineStr">
        <is>
          <t>Hỏa tốc</t>
        </is>
      </c>
      <c r="E349" t="n">
        <v>4.2</v>
      </c>
      <c r="F349" s="2">
        <f>IFERROR(VLOOKUP(C349&amp;"|"&amp;D349,Bang_gia!$A$2:$B$10,2,FALSE),"Không tìm thấy mã/khu vực/dịch vụ")</f>
        <v/>
      </c>
      <c r="G349" t="inlineStr">
        <is>
          <t>Đang giao</t>
        </is>
      </c>
    </row>
    <row r="350">
      <c r="A350" t="inlineStr">
        <is>
          <t>FM000349</t>
        </is>
      </c>
      <c r="B350" t="inlineStr">
        <is>
          <t>2026-10-20</t>
        </is>
      </c>
      <c r="C350" t="inlineStr">
        <is>
          <t>Ngoại thành</t>
        </is>
      </c>
      <c r="D350" t="inlineStr">
        <is>
          <t>Nhanh</t>
        </is>
      </c>
      <c r="E350" t="n">
        <v>18.8</v>
      </c>
      <c r="F350" s="2">
        <f>IFERROR(VLOOKUP(C350&amp;"|"&amp;D350,Bang_gia!$A$2:$B$10,2,FALSE),"Không tìm thấy mã/khu vực/dịch vụ")</f>
        <v/>
      </c>
      <c r="G350" t="inlineStr">
        <is>
          <t>Mới tạo</t>
        </is>
      </c>
    </row>
    <row r="351">
      <c r="A351" t="inlineStr">
        <is>
          <t>FM000350</t>
        </is>
      </c>
      <c r="B351" t="inlineStr">
        <is>
          <t>2026-10-09</t>
        </is>
      </c>
      <c r="C351" t="inlineStr">
        <is>
          <t>Ngoại thành</t>
        </is>
      </c>
      <c r="D351" t="inlineStr">
        <is>
          <t>Tiêu chuẩn</t>
        </is>
      </c>
      <c r="E351" t="n">
        <v>8.300000000000001</v>
      </c>
      <c r="F351" s="2">
        <f>IFERROR(VLOOKUP(C351&amp;"|"&amp;D351,Bang_gia!$A$2:$B$10,2,FALSE),"Không tìm thấy mã/khu vực/dịch vụ")</f>
        <v/>
      </c>
      <c r="G351" t="inlineStr">
        <is>
          <t>Đã giao</t>
        </is>
      </c>
    </row>
    <row r="352">
      <c r="A352" t="inlineStr">
        <is>
          <t>FM000351</t>
        </is>
      </c>
      <c r="B352" t="inlineStr">
        <is>
          <t>2026-10-07</t>
        </is>
      </c>
      <c r="C352" t="inlineStr">
        <is>
          <t>Nội thành</t>
        </is>
      </c>
      <c r="D352" t="inlineStr">
        <is>
          <t>Nhanh</t>
        </is>
      </c>
      <c r="E352" t="n">
        <v>3.8</v>
      </c>
      <c r="F352" s="2">
        <f>IFERROR(VLOOKUP(C352&amp;"|"&amp;D352,Bang_gia!$A$2:$B$10,2,FALSE),"Không tìm thấy mã/khu vực/dịch vụ")</f>
        <v/>
      </c>
      <c r="G352" t="inlineStr">
        <is>
          <t>Mới tạo</t>
        </is>
      </c>
    </row>
    <row r="353">
      <c r="A353" t="inlineStr">
        <is>
          <t>FM000352</t>
        </is>
      </c>
      <c r="B353" t="inlineStr">
        <is>
          <t>2026-10-20</t>
        </is>
      </c>
      <c r="C353" t="inlineStr">
        <is>
          <t>Nội thành</t>
        </is>
      </c>
      <c r="D353" t="inlineStr">
        <is>
          <t>Hỏa tốc</t>
        </is>
      </c>
      <c r="E353" t="n">
        <v>3.6</v>
      </c>
      <c r="F353" s="2">
        <f>IFERROR(VLOOKUP(C353&amp;"|"&amp;D353,Bang_gia!$A$2:$B$10,2,FALSE),"Không tìm thấy mã/khu vực/dịch vụ")</f>
        <v/>
      </c>
      <c r="G353" t="inlineStr">
        <is>
          <t>Mới tạo</t>
        </is>
      </c>
    </row>
    <row r="354">
      <c r="A354" t="inlineStr">
        <is>
          <t>FM000353</t>
        </is>
      </c>
      <c r="B354" t="inlineStr">
        <is>
          <t>2026-10-21</t>
        </is>
      </c>
      <c r="C354" t="inlineStr">
        <is>
          <t>Ngoại thành</t>
        </is>
      </c>
      <c r="D354" t="inlineStr">
        <is>
          <t>Hỏa tốc</t>
        </is>
      </c>
      <c r="E354" t="n">
        <v>0.5</v>
      </c>
      <c r="F354" s="2">
        <f>IFERROR(VLOOKUP(C354&amp;"|"&amp;D354,Bang_gia!$A$2:$B$10,2,FALSE),"Không tìm thấy mã/khu vực/dịch vụ")</f>
        <v/>
      </c>
      <c r="G354" t="inlineStr">
        <is>
          <t>Chờ xử lý</t>
        </is>
      </c>
    </row>
    <row r="355">
      <c r="A355" t="inlineStr">
        <is>
          <t>FM000354</t>
        </is>
      </c>
      <c r="B355" t="inlineStr">
        <is>
          <t>2026-10-06</t>
        </is>
      </c>
      <c r="C355" t="inlineStr">
        <is>
          <t>Ngoại thành</t>
        </is>
      </c>
      <c r="D355" t="inlineStr">
        <is>
          <t>Hỏa tốc</t>
        </is>
      </c>
      <c r="E355" t="n">
        <v>16.5</v>
      </c>
      <c r="F355" s="2">
        <f>IFERROR(VLOOKUP(C355&amp;"|"&amp;D355,Bang_gia!$A$2:$B$10,2,FALSE),"Không tìm thấy mã/khu vực/dịch vụ")</f>
        <v/>
      </c>
      <c r="G355" t="inlineStr">
        <is>
          <t>Đang giao</t>
        </is>
      </c>
    </row>
    <row r="356">
      <c r="A356" t="inlineStr">
        <is>
          <t>FM000355</t>
        </is>
      </c>
      <c r="B356" t="inlineStr">
        <is>
          <t>2026-10-09</t>
        </is>
      </c>
      <c r="C356" t="inlineStr">
        <is>
          <t>Nội thành</t>
        </is>
      </c>
      <c r="D356" t="inlineStr">
        <is>
          <t>Tiêu chuẩn</t>
        </is>
      </c>
      <c r="E356" t="n">
        <v>6.9</v>
      </c>
      <c r="F356" s="2">
        <f>IFERROR(VLOOKUP(C356&amp;"|"&amp;D356,Bang_gia!$A$2:$B$10,2,FALSE),"Không tìm thấy mã/khu vực/dịch vụ")</f>
        <v/>
      </c>
      <c r="G356" t="inlineStr">
        <is>
          <t>Chờ xử lý</t>
        </is>
      </c>
    </row>
    <row r="357">
      <c r="A357" t="inlineStr">
        <is>
          <t>FM000356</t>
        </is>
      </c>
      <c r="B357" t="inlineStr">
        <is>
          <t>2026-10-14</t>
        </is>
      </c>
      <c r="C357" t="inlineStr">
        <is>
          <t>Liên tỉnh</t>
        </is>
      </c>
      <c r="D357" t="inlineStr">
        <is>
          <t>Nhanh</t>
        </is>
      </c>
      <c r="E357" t="n">
        <v>14.1</v>
      </c>
      <c r="F357" s="2">
        <f>IFERROR(VLOOKUP(C357&amp;"|"&amp;D357,Bang_gia!$A$2:$B$10,2,FALSE),"Không tìm thấy mã/khu vực/dịch vụ")</f>
        <v/>
      </c>
      <c r="G357" t="inlineStr">
        <is>
          <t>Đã giao</t>
        </is>
      </c>
    </row>
    <row r="358">
      <c r="A358" t="inlineStr">
        <is>
          <t>FM000357</t>
        </is>
      </c>
      <c r="B358" t="inlineStr">
        <is>
          <t>2026-10-12</t>
        </is>
      </c>
      <c r="C358" t="inlineStr">
        <is>
          <t>Nội thành</t>
        </is>
      </c>
      <c r="D358" t="inlineStr">
        <is>
          <t>Tiêu chuẩn</t>
        </is>
      </c>
      <c r="E358" t="n">
        <v>4.2</v>
      </c>
      <c r="F358" s="2">
        <f>IFERROR(VLOOKUP(C358&amp;"|"&amp;D358,Bang_gia!$A$2:$B$10,2,FALSE),"Không tìm thấy mã/khu vực/dịch vụ")</f>
        <v/>
      </c>
      <c r="G358" t="inlineStr">
        <is>
          <t>Chờ xử lý</t>
        </is>
      </c>
    </row>
    <row r="359">
      <c r="A359" t="inlineStr">
        <is>
          <t>FM000358</t>
        </is>
      </c>
      <c r="B359" t="inlineStr">
        <is>
          <t>2026-10-19</t>
        </is>
      </c>
      <c r="C359" t="inlineStr">
        <is>
          <t>Nội thành</t>
        </is>
      </c>
      <c r="D359" t="inlineStr">
        <is>
          <t>Nhanh</t>
        </is>
      </c>
      <c r="E359" t="n">
        <v>5</v>
      </c>
      <c r="F359" s="2">
        <f>IFERROR(VLOOKUP(C359&amp;"|"&amp;D359,Bang_gia!$A$2:$B$10,2,FALSE),"Không tìm thấy mã/khu vực/dịch vụ")</f>
        <v/>
      </c>
      <c r="G359" t="inlineStr">
        <is>
          <t>Mới tạo</t>
        </is>
      </c>
    </row>
    <row r="360">
      <c r="A360" t="inlineStr">
        <is>
          <t>FM000359</t>
        </is>
      </c>
      <c r="B360" t="inlineStr">
        <is>
          <t>2026-10-13</t>
        </is>
      </c>
      <c r="C360" t="inlineStr">
        <is>
          <t>Nội thành</t>
        </is>
      </c>
      <c r="D360" t="inlineStr">
        <is>
          <t>Tiêu chuẩn</t>
        </is>
      </c>
      <c r="E360" t="n">
        <v>14.7</v>
      </c>
      <c r="F360" s="2">
        <f>IFERROR(VLOOKUP(C360&amp;"|"&amp;D360,Bang_gia!$A$2:$B$10,2,FALSE),"Không tìm thấy mã/khu vực/dịch vụ")</f>
        <v/>
      </c>
      <c r="G360" t="inlineStr">
        <is>
          <t>Đang giao</t>
        </is>
      </c>
    </row>
    <row r="361">
      <c r="A361" t="inlineStr">
        <is>
          <t>FM000360</t>
        </is>
      </c>
      <c r="B361" t="inlineStr">
        <is>
          <t>2026-10-03</t>
        </is>
      </c>
      <c r="C361" t="inlineStr">
        <is>
          <t>Nội thành</t>
        </is>
      </c>
      <c r="D361" t="inlineStr">
        <is>
          <t>Hỏa tốc</t>
        </is>
      </c>
      <c r="E361" t="n">
        <v>16.6</v>
      </c>
      <c r="F361" s="2">
        <f>IFERROR(VLOOKUP(C361&amp;"|"&amp;D361,Bang_gia!$A$2:$B$10,2,FALSE),"Không tìm thấy mã/khu vực/dịch vụ")</f>
        <v/>
      </c>
      <c r="G361" t="inlineStr">
        <is>
          <t>Chờ xử lý</t>
        </is>
      </c>
    </row>
    <row r="362">
      <c r="A362" t="inlineStr">
        <is>
          <t>FM000361</t>
        </is>
      </c>
      <c r="B362" t="inlineStr">
        <is>
          <t>2026-10-25</t>
        </is>
      </c>
      <c r="C362" t="inlineStr">
        <is>
          <t>Ngoại thành</t>
        </is>
      </c>
      <c r="D362" t="inlineStr">
        <is>
          <t>Tiêu chuẩn</t>
        </is>
      </c>
      <c r="E362" t="n">
        <v>4.2</v>
      </c>
      <c r="F362" s="2">
        <f>IFERROR(VLOOKUP(C362&amp;"|"&amp;D362,Bang_gia!$A$2:$B$10,2,FALSE),"Không tìm thấy mã/khu vực/dịch vụ")</f>
        <v/>
      </c>
      <c r="G362" t="inlineStr">
        <is>
          <t>Mới tạo</t>
        </is>
      </c>
    </row>
    <row r="363">
      <c r="A363" t="inlineStr">
        <is>
          <t>FM000362</t>
        </is>
      </c>
      <c r="B363" t="inlineStr">
        <is>
          <t>2026-10-26</t>
        </is>
      </c>
      <c r="C363" t="inlineStr">
        <is>
          <t>Nội thành</t>
        </is>
      </c>
      <c r="D363" t="inlineStr">
        <is>
          <t>Nhanh</t>
        </is>
      </c>
      <c r="E363" t="n">
        <v>6.6</v>
      </c>
      <c r="F363" s="2">
        <f>IFERROR(VLOOKUP(C363&amp;"|"&amp;D363,Bang_gia!$A$2:$B$10,2,FALSE),"Không tìm thấy mã/khu vực/dịch vụ")</f>
        <v/>
      </c>
      <c r="G363" t="inlineStr">
        <is>
          <t>Đang giao</t>
        </is>
      </c>
    </row>
    <row r="364">
      <c r="A364" t="inlineStr">
        <is>
          <t>FM000363</t>
        </is>
      </c>
      <c r="B364" t="inlineStr">
        <is>
          <t>2026-10-05</t>
        </is>
      </c>
      <c r="C364" t="inlineStr">
        <is>
          <t>Ngoại thành</t>
        </is>
      </c>
      <c r="D364" t="inlineStr">
        <is>
          <t>Tiêu chuẩn</t>
        </is>
      </c>
      <c r="E364" t="n">
        <v>11.1</v>
      </c>
      <c r="F364" s="2">
        <f>IFERROR(VLOOKUP(C364&amp;"|"&amp;D364,Bang_gia!$A$2:$B$10,2,FALSE),"Không tìm thấy mã/khu vực/dịch vụ")</f>
        <v/>
      </c>
      <c r="G364" t="inlineStr">
        <is>
          <t>Chờ xử lý</t>
        </is>
      </c>
    </row>
    <row r="365">
      <c r="A365" t="inlineStr">
        <is>
          <t>FM000364</t>
        </is>
      </c>
      <c r="B365" t="inlineStr">
        <is>
          <t>2026-10-13</t>
        </is>
      </c>
      <c r="C365" t="inlineStr">
        <is>
          <t>Nội thành</t>
        </is>
      </c>
      <c r="D365" t="inlineStr">
        <is>
          <t>Tiêu chuẩn</t>
        </is>
      </c>
      <c r="E365" t="n">
        <v>11.3</v>
      </c>
      <c r="F365" s="2">
        <f>IFERROR(VLOOKUP(C365&amp;"|"&amp;D365,Bang_gia!$A$2:$B$10,2,FALSE),"Không tìm thấy mã/khu vực/dịch vụ")</f>
        <v/>
      </c>
      <c r="G365" t="inlineStr">
        <is>
          <t>Đã giao</t>
        </is>
      </c>
    </row>
    <row r="366">
      <c r="A366" t="inlineStr">
        <is>
          <t>FM000365</t>
        </is>
      </c>
      <c r="B366" t="inlineStr">
        <is>
          <t>2026-10-06</t>
        </is>
      </c>
      <c r="C366" t="inlineStr">
        <is>
          <t>Ngoại thành</t>
        </is>
      </c>
      <c r="D366" t="inlineStr">
        <is>
          <t>Nhanh</t>
        </is>
      </c>
      <c r="E366" t="n">
        <v>7</v>
      </c>
      <c r="F366" s="2">
        <f>IFERROR(VLOOKUP(C366&amp;"|"&amp;D366,Bang_gia!$A$2:$B$10,2,FALSE),"Không tìm thấy mã/khu vực/dịch vụ")</f>
        <v/>
      </c>
      <c r="G366" t="inlineStr">
        <is>
          <t>Đang giao</t>
        </is>
      </c>
    </row>
    <row r="367">
      <c r="A367" t="inlineStr">
        <is>
          <t>FM000366</t>
        </is>
      </c>
      <c r="B367" t="inlineStr">
        <is>
          <t>2026-10-03</t>
        </is>
      </c>
      <c r="C367" t="inlineStr">
        <is>
          <t>Nội thành</t>
        </is>
      </c>
      <c r="D367" t="inlineStr">
        <is>
          <t>Nhanh</t>
        </is>
      </c>
      <c r="E367" t="n">
        <v>19.1</v>
      </c>
      <c r="F367" s="2">
        <f>IFERROR(VLOOKUP(C367&amp;"|"&amp;D367,Bang_gia!$A$2:$B$10,2,FALSE),"Không tìm thấy mã/khu vực/dịch vụ")</f>
        <v/>
      </c>
      <c r="G367" t="inlineStr">
        <is>
          <t>Chờ xử lý</t>
        </is>
      </c>
    </row>
    <row r="368">
      <c r="A368" t="inlineStr">
        <is>
          <t>FM000367</t>
        </is>
      </c>
      <c r="B368" t="inlineStr">
        <is>
          <t>2026-10-16</t>
        </is>
      </c>
      <c r="C368" t="inlineStr">
        <is>
          <t>Liên tỉnh</t>
        </is>
      </c>
      <c r="D368" t="inlineStr">
        <is>
          <t>Hỏa tốc</t>
        </is>
      </c>
      <c r="E368" t="n">
        <v>9.4</v>
      </c>
      <c r="F368" s="2">
        <f>IFERROR(VLOOKUP(C368&amp;"|"&amp;D368,Bang_gia!$A$2:$B$10,2,FALSE),"Không tìm thấy mã/khu vực/dịch vụ")</f>
        <v/>
      </c>
      <c r="G368" t="inlineStr">
        <is>
          <t>Đã giao</t>
        </is>
      </c>
    </row>
    <row r="369">
      <c r="A369" t="inlineStr">
        <is>
          <t>FM000368</t>
        </is>
      </c>
      <c r="B369" t="inlineStr">
        <is>
          <t>2026-10-23</t>
        </is>
      </c>
      <c r="C369" t="inlineStr">
        <is>
          <t>Nội thành</t>
        </is>
      </c>
      <c r="D369" t="inlineStr">
        <is>
          <t>Tiêu chuẩn</t>
        </is>
      </c>
      <c r="E369" t="n">
        <v>7.6</v>
      </c>
      <c r="F369" s="2">
        <f>IFERROR(VLOOKUP(C369&amp;"|"&amp;D369,Bang_gia!$A$2:$B$10,2,FALSE),"Không tìm thấy mã/khu vực/dịch vụ")</f>
        <v/>
      </c>
      <c r="G369" t="inlineStr">
        <is>
          <t>Đã giao</t>
        </is>
      </c>
    </row>
    <row r="370">
      <c r="A370" t="inlineStr">
        <is>
          <t>FM000369</t>
        </is>
      </c>
      <c r="B370" t="inlineStr">
        <is>
          <t>2026-10-25</t>
        </is>
      </c>
      <c r="C370" t="inlineStr">
        <is>
          <t>Ngoại thành</t>
        </is>
      </c>
      <c r="D370" t="inlineStr">
        <is>
          <t>Nhanh</t>
        </is>
      </c>
      <c r="E370" t="n">
        <v>6.7</v>
      </c>
      <c r="F370" s="2">
        <f>IFERROR(VLOOKUP(C370&amp;"|"&amp;D370,Bang_gia!$A$2:$B$10,2,FALSE),"Không tìm thấy mã/khu vực/dịch vụ")</f>
        <v/>
      </c>
      <c r="G370" t="inlineStr">
        <is>
          <t>Mới tạo</t>
        </is>
      </c>
    </row>
    <row r="371">
      <c r="A371" t="inlineStr">
        <is>
          <t>FM000370</t>
        </is>
      </c>
      <c r="B371" t="inlineStr">
        <is>
          <t>2026-10-24</t>
        </is>
      </c>
      <c r="C371" t="inlineStr">
        <is>
          <t>Liên tỉnh</t>
        </is>
      </c>
      <c r="D371" t="inlineStr">
        <is>
          <t>Hỏa tốc</t>
        </is>
      </c>
      <c r="E371" t="n">
        <v>12.5</v>
      </c>
      <c r="F371" s="2">
        <f>IFERROR(VLOOKUP(C371&amp;"|"&amp;D371,Bang_gia!$A$2:$B$10,2,FALSE),"Không tìm thấy mã/khu vực/dịch vụ")</f>
        <v/>
      </c>
      <c r="G371" t="inlineStr">
        <is>
          <t>Chờ xử lý</t>
        </is>
      </c>
    </row>
    <row r="372">
      <c r="A372" t="inlineStr">
        <is>
          <t>FM000371</t>
        </is>
      </c>
      <c r="B372" t="inlineStr">
        <is>
          <t>2026-10-08</t>
        </is>
      </c>
      <c r="C372" t="inlineStr">
        <is>
          <t>Ngoại thành</t>
        </is>
      </c>
      <c r="D372" t="inlineStr">
        <is>
          <t>Nhanh</t>
        </is>
      </c>
      <c r="E372" t="n">
        <v>5.8</v>
      </c>
      <c r="F372" s="2">
        <f>IFERROR(VLOOKUP(C372&amp;"|"&amp;D372,Bang_gia!$A$2:$B$10,2,FALSE),"Không tìm thấy mã/khu vực/dịch vụ")</f>
        <v/>
      </c>
      <c r="G372" t="inlineStr">
        <is>
          <t>Chờ xử lý</t>
        </is>
      </c>
    </row>
    <row r="373">
      <c r="A373" t="inlineStr">
        <is>
          <t>FM000372</t>
        </is>
      </c>
      <c r="B373" t="inlineStr">
        <is>
          <t>2026-10-18</t>
        </is>
      </c>
      <c r="C373" t="inlineStr">
        <is>
          <t>Nội thành</t>
        </is>
      </c>
      <c r="D373" t="inlineStr">
        <is>
          <t>Tiêu chuẩn</t>
        </is>
      </c>
      <c r="E373" t="n">
        <v>4.9</v>
      </c>
      <c r="F373" s="2">
        <f>IFERROR(VLOOKUP(C373&amp;"|"&amp;D373,Bang_gia!$A$2:$B$10,2,FALSE),"Không tìm thấy mã/khu vực/dịch vụ")</f>
        <v/>
      </c>
      <c r="G373" t="inlineStr">
        <is>
          <t>Đã giao</t>
        </is>
      </c>
    </row>
    <row r="374">
      <c r="A374" t="inlineStr">
        <is>
          <t>FM000373</t>
        </is>
      </c>
      <c r="B374" t="inlineStr">
        <is>
          <t>2026-10-17</t>
        </is>
      </c>
      <c r="C374" t="inlineStr">
        <is>
          <t>Liên tỉnh</t>
        </is>
      </c>
      <c r="D374" t="inlineStr">
        <is>
          <t>Hỏa tốc</t>
        </is>
      </c>
      <c r="E374" t="n">
        <v>5.3</v>
      </c>
      <c r="F374" s="2">
        <f>IFERROR(VLOOKUP(C374&amp;"|"&amp;D374,Bang_gia!$A$2:$B$10,2,FALSE),"Không tìm thấy mã/khu vực/dịch vụ")</f>
        <v/>
      </c>
      <c r="G374" t="inlineStr">
        <is>
          <t>Đang giao</t>
        </is>
      </c>
    </row>
    <row r="375">
      <c r="A375" t="inlineStr">
        <is>
          <t>FM000374</t>
        </is>
      </c>
      <c r="B375" t="inlineStr">
        <is>
          <t>2026-10-24</t>
        </is>
      </c>
      <c r="C375" t="inlineStr">
        <is>
          <t>Liên tỉnh</t>
        </is>
      </c>
      <c r="D375" t="inlineStr">
        <is>
          <t>Nhanh</t>
        </is>
      </c>
      <c r="E375" t="n">
        <v>4.6</v>
      </c>
      <c r="F375" s="2">
        <f>IFERROR(VLOOKUP(C375&amp;"|"&amp;D375,Bang_gia!$A$2:$B$10,2,FALSE),"Không tìm thấy mã/khu vực/dịch vụ")</f>
        <v/>
      </c>
      <c r="G375" t="inlineStr">
        <is>
          <t>Mới tạo</t>
        </is>
      </c>
    </row>
    <row r="376">
      <c r="A376" t="inlineStr">
        <is>
          <t>FM000375</t>
        </is>
      </c>
      <c r="B376" t="inlineStr">
        <is>
          <t>2026-10-19</t>
        </is>
      </c>
      <c r="C376" t="inlineStr">
        <is>
          <t>Ngoại thành</t>
        </is>
      </c>
      <c r="D376" t="inlineStr">
        <is>
          <t>Hỏa tốc</t>
        </is>
      </c>
      <c r="E376" t="n">
        <v>11.4</v>
      </c>
      <c r="F376" s="2">
        <f>IFERROR(VLOOKUP(C376&amp;"|"&amp;D376,Bang_gia!$A$2:$B$10,2,FALSE),"Không tìm thấy mã/khu vực/dịch vụ")</f>
        <v/>
      </c>
      <c r="G376" t="inlineStr">
        <is>
          <t>Đã giao</t>
        </is>
      </c>
    </row>
    <row r="377">
      <c r="A377" t="inlineStr">
        <is>
          <t>FM000376</t>
        </is>
      </c>
      <c r="B377" t="inlineStr">
        <is>
          <t>2026-10-08</t>
        </is>
      </c>
      <c r="C377" t="inlineStr">
        <is>
          <t>Nội thành</t>
        </is>
      </c>
      <c r="D377" t="inlineStr">
        <is>
          <t>Hỏa tốc</t>
        </is>
      </c>
      <c r="E377" t="n">
        <v>17.4</v>
      </c>
      <c r="F377" s="2">
        <f>IFERROR(VLOOKUP(C377&amp;"|"&amp;D377,Bang_gia!$A$2:$B$10,2,FALSE),"Không tìm thấy mã/khu vực/dịch vụ")</f>
        <v/>
      </c>
      <c r="G377" t="inlineStr">
        <is>
          <t>Đang giao</t>
        </is>
      </c>
    </row>
    <row r="378">
      <c r="A378" t="inlineStr">
        <is>
          <t>FM000377</t>
        </is>
      </c>
      <c r="B378" t="inlineStr">
        <is>
          <t>2026-10-09</t>
        </is>
      </c>
      <c r="C378" t="inlineStr">
        <is>
          <t>Nội thành</t>
        </is>
      </c>
      <c r="D378" t="inlineStr">
        <is>
          <t>Tiêu chuẩn</t>
        </is>
      </c>
      <c r="E378" t="n">
        <v>7.7</v>
      </c>
      <c r="F378" s="2">
        <f>IFERROR(VLOOKUP(C378&amp;"|"&amp;D378,Bang_gia!$A$2:$B$10,2,FALSE),"Không tìm thấy mã/khu vực/dịch vụ")</f>
        <v/>
      </c>
      <c r="G378" t="inlineStr">
        <is>
          <t>Đang giao</t>
        </is>
      </c>
    </row>
    <row r="379">
      <c r="A379" t="inlineStr">
        <is>
          <t>FM000378</t>
        </is>
      </c>
      <c r="B379" t="inlineStr">
        <is>
          <t>2026-10-16</t>
        </is>
      </c>
      <c r="C379" t="inlineStr">
        <is>
          <t>Nội thành</t>
        </is>
      </c>
      <c r="D379" t="inlineStr">
        <is>
          <t>Tiêu chuẩn</t>
        </is>
      </c>
      <c r="E379" t="n">
        <v>11.6</v>
      </c>
      <c r="F379" s="2">
        <f>IFERROR(VLOOKUP(C379&amp;"|"&amp;D379,Bang_gia!$A$2:$B$10,2,FALSE),"Không tìm thấy mã/khu vực/dịch vụ")</f>
        <v/>
      </c>
      <c r="G379" t="inlineStr">
        <is>
          <t>Mới tạo</t>
        </is>
      </c>
    </row>
    <row r="380">
      <c r="A380" t="inlineStr">
        <is>
          <t>FM000379</t>
        </is>
      </c>
      <c r="B380" t="inlineStr">
        <is>
          <t>2026-10-03</t>
        </is>
      </c>
      <c r="C380" t="inlineStr">
        <is>
          <t>Nội thành</t>
        </is>
      </c>
      <c r="D380" t="inlineStr">
        <is>
          <t>Tiêu chuẩn</t>
        </is>
      </c>
      <c r="E380" t="n">
        <v>12.9</v>
      </c>
      <c r="F380" s="2">
        <f>IFERROR(VLOOKUP(C380&amp;"|"&amp;D380,Bang_gia!$A$2:$B$10,2,FALSE),"Không tìm thấy mã/khu vực/dịch vụ")</f>
        <v/>
      </c>
      <c r="G380" t="inlineStr">
        <is>
          <t>Đã giao</t>
        </is>
      </c>
    </row>
    <row r="381">
      <c r="A381" t="inlineStr">
        <is>
          <t>FM000380</t>
        </is>
      </c>
      <c r="B381" t="inlineStr">
        <is>
          <t>2026-10-02</t>
        </is>
      </c>
      <c r="C381" t="inlineStr">
        <is>
          <t>Ngoại thành</t>
        </is>
      </c>
      <c r="D381" t="inlineStr">
        <is>
          <t>Tiêu chuẩn</t>
        </is>
      </c>
      <c r="E381" t="n">
        <v>19.7</v>
      </c>
      <c r="F381" s="2">
        <f>IFERROR(VLOOKUP(C381&amp;"|"&amp;D381,Bang_gia!$A$2:$B$10,2,FALSE),"Không tìm thấy mã/khu vực/dịch vụ")</f>
        <v/>
      </c>
      <c r="G381" t="inlineStr">
        <is>
          <t>Đã giao</t>
        </is>
      </c>
    </row>
    <row r="382">
      <c r="A382" t="inlineStr">
        <is>
          <t>FM000381</t>
        </is>
      </c>
      <c r="B382" t="inlineStr">
        <is>
          <t>2026-10-09</t>
        </is>
      </c>
      <c r="C382" t="inlineStr">
        <is>
          <t>Liên tỉnh</t>
        </is>
      </c>
      <c r="D382" t="inlineStr">
        <is>
          <t>Tiêu chuẩn</t>
        </is>
      </c>
      <c r="E382" t="n">
        <v>10</v>
      </c>
      <c r="F382" s="2">
        <f>IFERROR(VLOOKUP(C382&amp;"|"&amp;D382,Bang_gia!$A$2:$B$10,2,FALSE),"Không tìm thấy mã/khu vực/dịch vụ")</f>
        <v/>
      </c>
      <c r="G382" t="inlineStr">
        <is>
          <t>Đã giao</t>
        </is>
      </c>
    </row>
    <row r="383">
      <c r="A383" t="inlineStr">
        <is>
          <t>FM000382</t>
        </is>
      </c>
      <c r="B383" t="inlineStr">
        <is>
          <t>2026-10-17</t>
        </is>
      </c>
      <c r="C383" t="inlineStr">
        <is>
          <t>Nội thành</t>
        </is>
      </c>
      <c r="D383" t="inlineStr">
        <is>
          <t>Nhanh</t>
        </is>
      </c>
      <c r="E383" t="n">
        <v>4</v>
      </c>
      <c r="F383" s="2">
        <f>IFERROR(VLOOKUP(C383&amp;"|"&amp;D383,Bang_gia!$A$2:$B$10,2,FALSE),"Không tìm thấy mã/khu vực/dịch vụ")</f>
        <v/>
      </c>
      <c r="G383" t="inlineStr">
        <is>
          <t>Mới tạo</t>
        </is>
      </c>
    </row>
    <row r="384">
      <c r="A384" t="inlineStr">
        <is>
          <t>FM000383</t>
        </is>
      </c>
      <c r="B384" t="inlineStr">
        <is>
          <t>2026-10-16</t>
        </is>
      </c>
      <c r="C384" t="inlineStr">
        <is>
          <t>Liên tỉnh</t>
        </is>
      </c>
      <c r="D384" t="inlineStr">
        <is>
          <t>Tiêu chuẩn</t>
        </is>
      </c>
      <c r="E384" t="n">
        <v>12.3</v>
      </c>
      <c r="F384" s="2">
        <f>IFERROR(VLOOKUP(C384&amp;"|"&amp;D384,Bang_gia!$A$2:$B$10,2,FALSE),"Không tìm thấy mã/khu vực/dịch vụ")</f>
        <v/>
      </c>
      <c r="G384" t="inlineStr">
        <is>
          <t>Chờ xử lý</t>
        </is>
      </c>
    </row>
    <row r="385">
      <c r="A385" t="inlineStr">
        <is>
          <t>FM000384</t>
        </is>
      </c>
      <c r="B385" t="inlineStr">
        <is>
          <t>2026-10-10</t>
        </is>
      </c>
      <c r="C385" t="inlineStr">
        <is>
          <t>Liên tỉnh</t>
        </is>
      </c>
      <c r="D385" t="inlineStr">
        <is>
          <t>Hỏa tốc</t>
        </is>
      </c>
      <c r="E385" t="n">
        <v>15.8</v>
      </c>
      <c r="F385" s="2">
        <f>IFERROR(VLOOKUP(C385&amp;"|"&amp;D385,Bang_gia!$A$2:$B$10,2,FALSE),"Không tìm thấy mã/khu vực/dịch vụ")</f>
        <v/>
      </c>
      <c r="G385" t="inlineStr">
        <is>
          <t>Chờ xử lý</t>
        </is>
      </c>
    </row>
    <row r="386">
      <c r="A386" t="inlineStr">
        <is>
          <t>FM000385</t>
        </is>
      </c>
      <c r="B386" t="inlineStr">
        <is>
          <t>2026-10-26</t>
        </is>
      </c>
      <c r="C386" t="inlineStr">
        <is>
          <t>Nội thành</t>
        </is>
      </c>
      <c r="D386" t="inlineStr">
        <is>
          <t>Hỏa tốc</t>
        </is>
      </c>
      <c r="E386" t="n">
        <v>18.8</v>
      </c>
      <c r="F386" s="2">
        <f>IFERROR(VLOOKUP(C386&amp;"|"&amp;D386,Bang_gia!$A$2:$B$10,2,FALSE),"Không tìm thấy mã/khu vực/dịch vụ")</f>
        <v/>
      </c>
      <c r="G386" t="inlineStr">
        <is>
          <t>Mới tạo</t>
        </is>
      </c>
    </row>
    <row r="387">
      <c r="A387" t="inlineStr">
        <is>
          <t>FM000386</t>
        </is>
      </c>
      <c r="B387" t="inlineStr">
        <is>
          <t>2026-10-25</t>
        </is>
      </c>
      <c r="C387" t="inlineStr">
        <is>
          <t>Nội thành</t>
        </is>
      </c>
      <c r="D387" t="inlineStr">
        <is>
          <t>Hỏa tốc</t>
        </is>
      </c>
      <c r="E387" t="n">
        <v>15.1</v>
      </c>
      <c r="F387" s="2">
        <f>IFERROR(VLOOKUP(C387&amp;"|"&amp;D387,Bang_gia!$A$2:$B$10,2,FALSE),"Không tìm thấy mã/khu vực/dịch vụ")</f>
        <v/>
      </c>
      <c r="G387" t="inlineStr">
        <is>
          <t>Mới tạo</t>
        </is>
      </c>
    </row>
    <row r="388">
      <c r="A388" t="inlineStr">
        <is>
          <t>FM000387</t>
        </is>
      </c>
      <c r="B388" t="inlineStr">
        <is>
          <t>2026-10-18</t>
        </is>
      </c>
      <c r="C388" t="inlineStr">
        <is>
          <t>Nội thành</t>
        </is>
      </c>
      <c r="D388" t="inlineStr">
        <is>
          <t>Nhanh</t>
        </is>
      </c>
      <c r="E388" t="n">
        <v>5.5</v>
      </c>
      <c r="F388" s="2">
        <f>IFERROR(VLOOKUP(C388&amp;"|"&amp;D388,Bang_gia!$A$2:$B$10,2,FALSE),"Không tìm thấy mã/khu vực/dịch vụ")</f>
        <v/>
      </c>
      <c r="G388" t="inlineStr">
        <is>
          <t>Mới tạo</t>
        </is>
      </c>
    </row>
    <row r="389">
      <c r="A389" t="inlineStr">
        <is>
          <t>FM000388</t>
        </is>
      </c>
      <c r="B389" t="inlineStr">
        <is>
          <t>2026-10-22</t>
        </is>
      </c>
      <c r="C389" t="inlineStr">
        <is>
          <t>Liên tỉnh</t>
        </is>
      </c>
      <c r="D389" t="inlineStr">
        <is>
          <t>Tiêu chuẩn</t>
        </is>
      </c>
      <c r="E389" t="n">
        <v>18.9</v>
      </c>
      <c r="F389" s="2">
        <f>IFERROR(VLOOKUP(C389&amp;"|"&amp;D389,Bang_gia!$A$2:$B$10,2,FALSE),"Không tìm thấy mã/khu vực/dịch vụ")</f>
        <v/>
      </c>
      <c r="G389" t="inlineStr">
        <is>
          <t>Chờ xử lý</t>
        </is>
      </c>
    </row>
    <row r="390">
      <c r="A390" t="inlineStr">
        <is>
          <t>FM000389</t>
        </is>
      </c>
      <c r="B390" t="inlineStr">
        <is>
          <t>2026-10-01</t>
        </is>
      </c>
      <c r="C390" t="inlineStr">
        <is>
          <t>Nội thành</t>
        </is>
      </c>
      <c r="D390" t="inlineStr">
        <is>
          <t>Hỏa tốc</t>
        </is>
      </c>
      <c r="E390" t="n">
        <v>8.1</v>
      </c>
      <c r="F390" s="2">
        <f>IFERROR(VLOOKUP(C390&amp;"|"&amp;D390,Bang_gia!$A$2:$B$10,2,FALSE),"Không tìm thấy mã/khu vực/dịch vụ")</f>
        <v/>
      </c>
      <c r="G390" t="inlineStr">
        <is>
          <t>Đang giao</t>
        </is>
      </c>
    </row>
    <row r="391">
      <c r="A391" t="inlineStr">
        <is>
          <t>FM000390</t>
        </is>
      </c>
      <c r="B391" t="inlineStr">
        <is>
          <t>2026-10-22</t>
        </is>
      </c>
      <c r="C391" t="inlineStr">
        <is>
          <t>Nội thành</t>
        </is>
      </c>
      <c r="D391" t="inlineStr">
        <is>
          <t>Hỏa tốc</t>
        </is>
      </c>
      <c r="E391" t="n">
        <v>17.6</v>
      </c>
      <c r="F391" s="2">
        <f>IFERROR(VLOOKUP(C391&amp;"|"&amp;D391,Bang_gia!$A$2:$B$10,2,FALSE),"Không tìm thấy mã/khu vực/dịch vụ")</f>
        <v/>
      </c>
      <c r="G391" t="inlineStr">
        <is>
          <t>Mới tạo</t>
        </is>
      </c>
    </row>
    <row r="392">
      <c r="A392" t="inlineStr">
        <is>
          <t>FM000391</t>
        </is>
      </c>
      <c r="B392" t="inlineStr">
        <is>
          <t>2026-10-02</t>
        </is>
      </c>
      <c r="C392" t="inlineStr">
        <is>
          <t>Nội thành</t>
        </is>
      </c>
      <c r="D392" t="inlineStr">
        <is>
          <t>Hỏa tốc</t>
        </is>
      </c>
      <c r="E392" t="n">
        <v>1.2</v>
      </c>
      <c r="F392" s="2">
        <f>IFERROR(VLOOKUP(C392&amp;"|"&amp;D392,Bang_gia!$A$2:$B$10,2,FALSE),"Không tìm thấy mã/khu vực/dịch vụ")</f>
        <v/>
      </c>
      <c r="G392" t="inlineStr">
        <is>
          <t>Chờ xử lý</t>
        </is>
      </c>
    </row>
    <row r="393">
      <c r="A393" t="inlineStr">
        <is>
          <t>FM000392</t>
        </is>
      </c>
      <c r="B393" t="inlineStr">
        <is>
          <t>2026-10-08</t>
        </is>
      </c>
      <c r="C393" t="inlineStr">
        <is>
          <t>Ngoại thành</t>
        </is>
      </c>
      <c r="D393" t="inlineStr">
        <is>
          <t>Tiêu chuẩn</t>
        </is>
      </c>
      <c r="E393" t="n">
        <v>16</v>
      </c>
      <c r="F393" s="2">
        <f>IFERROR(VLOOKUP(C393&amp;"|"&amp;D393,Bang_gia!$A$2:$B$10,2,FALSE),"Không tìm thấy mã/khu vực/dịch vụ")</f>
        <v/>
      </c>
      <c r="G393" t="inlineStr">
        <is>
          <t>Chờ xử lý</t>
        </is>
      </c>
    </row>
    <row r="394">
      <c r="A394" t="inlineStr">
        <is>
          <t>FM000393</t>
        </is>
      </c>
      <c r="B394" t="inlineStr">
        <is>
          <t>2026-10-19</t>
        </is>
      </c>
      <c r="C394" t="inlineStr">
        <is>
          <t>Nội thành</t>
        </is>
      </c>
      <c r="D394" t="inlineStr">
        <is>
          <t>Nhanh</t>
        </is>
      </c>
      <c r="E394" t="n">
        <v>6.4</v>
      </c>
      <c r="F394" s="2">
        <f>IFERROR(VLOOKUP(C394&amp;"|"&amp;D394,Bang_gia!$A$2:$B$10,2,FALSE),"Không tìm thấy mã/khu vực/dịch vụ")</f>
        <v/>
      </c>
      <c r="G394" t="inlineStr">
        <is>
          <t>Chờ xử lý</t>
        </is>
      </c>
    </row>
    <row r="395">
      <c r="A395" t="inlineStr">
        <is>
          <t>FM000394</t>
        </is>
      </c>
      <c r="B395" t="inlineStr">
        <is>
          <t>2026-10-02</t>
        </is>
      </c>
      <c r="C395" t="inlineStr">
        <is>
          <t>Liên tỉnh</t>
        </is>
      </c>
      <c r="D395" t="inlineStr">
        <is>
          <t>Nhanh</t>
        </is>
      </c>
      <c r="E395" t="n">
        <v>3</v>
      </c>
      <c r="F395" s="2">
        <f>IFERROR(VLOOKUP(C395&amp;"|"&amp;D395,Bang_gia!$A$2:$B$10,2,FALSE),"Không tìm thấy mã/khu vực/dịch vụ")</f>
        <v/>
      </c>
      <c r="G395" t="inlineStr">
        <is>
          <t>Chờ xử lý</t>
        </is>
      </c>
    </row>
    <row r="396">
      <c r="A396" t="inlineStr">
        <is>
          <t>FM000395</t>
        </is>
      </c>
      <c r="B396" t="inlineStr">
        <is>
          <t>2026-10-05</t>
        </is>
      </c>
      <c r="C396" t="inlineStr">
        <is>
          <t>Nội thành</t>
        </is>
      </c>
      <c r="D396" t="inlineStr">
        <is>
          <t>Tiêu chuẩn</t>
        </is>
      </c>
      <c r="E396" t="n">
        <v>11.1</v>
      </c>
      <c r="F396" s="2">
        <f>IFERROR(VLOOKUP(C396&amp;"|"&amp;D396,Bang_gia!$A$2:$B$10,2,FALSE),"Không tìm thấy mã/khu vực/dịch vụ")</f>
        <v/>
      </c>
      <c r="G396" t="inlineStr">
        <is>
          <t>Chờ xử lý</t>
        </is>
      </c>
    </row>
    <row r="397">
      <c r="A397" t="inlineStr">
        <is>
          <t>FM000396</t>
        </is>
      </c>
      <c r="B397" t="inlineStr">
        <is>
          <t>2026-10-03</t>
        </is>
      </c>
      <c r="C397" t="inlineStr">
        <is>
          <t>Ngoại thành</t>
        </is>
      </c>
      <c r="D397" t="inlineStr">
        <is>
          <t>Hỏa tốc</t>
        </is>
      </c>
      <c r="E397" t="n">
        <v>2.8</v>
      </c>
      <c r="F397" s="2">
        <f>IFERROR(VLOOKUP(C397&amp;"|"&amp;D397,Bang_gia!$A$2:$B$10,2,FALSE),"Không tìm thấy mã/khu vực/dịch vụ")</f>
        <v/>
      </c>
      <c r="G397" t="inlineStr">
        <is>
          <t>Đã giao</t>
        </is>
      </c>
    </row>
    <row r="398">
      <c r="A398" t="inlineStr">
        <is>
          <t>FM000397</t>
        </is>
      </c>
      <c r="B398" t="inlineStr">
        <is>
          <t>2026-10-23</t>
        </is>
      </c>
      <c r="C398" t="inlineStr">
        <is>
          <t>Nội thành</t>
        </is>
      </c>
      <c r="D398" t="inlineStr">
        <is>
          <t>Tiêu chuẩn</t>
        </is>
      </c>
      <c r="E398" t="n">
        <v>8.1</v>
      </c>
      <c r="F398" s="2">
        <f>IFERROR(VLOOKUP(C398&amp;"|"&amp;D398,Bang_gia!$A$2:$B$10,2,FALSE),"Không tìm thấy mã/khu vực/dịch vụ")</f>
        <v/>
      </c>
      <c r="G398" t="inlineStr">
        <is>
          <t>Đang giao</t>
        </is>
      </c>
    </row>
    <row r="399">
      <c r="A399" t="inlineStr">
        <is>
          <t>FM000398</t>
        </is>
      </c>
      <c r="B399" t="inlineStr">
        <is>
          <t>2026-10-24</t>
        </is>
      </c>
      <c r="C399" t="inlineStr">
        <is>
          <t>Nội thành</t>
        </is>
      </c>
      <c r="D399" t="inlineStr">
        <is>
          <t>Nhanh</t>
        </is>
      </c>
      <c r="E399" t="n">
        <v>8.300000000000001</v>
      </c>
      <c r="F399" s="2">
        <f>IFERROR(VLOOKUP(C399&amp;"|"&amp;D399,Bang_gia!$A$2:$B$10,2,FALSE),"Không tìm thấy mã/khu vực/dịch vụ")</f>
        <v/>
      </c>
      <c r="G399" t="inlineStr">
        <is>
          <t>Chờ xử lý</t>
        </is>
      </c>
    </row>
    <row r="400">
      <c r="A400" t="inlineStr">
        <is>
          <t>FM000399</t>
        </is>
      </c>
      <c r="B400" t="inlineStr">
        <is>
          <t>2026-10-19</t>
        </is>
      </c>
      <c r="C400" t="inlineStr">
        <is>
          <t>Nội thành</t>
        </is>
      </c>
      <c r="D400" t="inlineStr">
        <is>
          <t>Hỏa tốc</t>
        </is>
      </c>
      <c r="E400" t="n">
        <v>7.5</v>
      </c>
      <c r="F400" s="2">
        <f>IFERROR(VLOOKUP(C400&amp;"|"&amp;D400,Bang_gia!$A$2:$B$10,2,FALSE),"Không tìm thấy mã/khu vực/dịch vụ")</f>
        <v/>
      </c>
      <c r="G400" t="inlineStr">
        <is>
          <t>Đã giao</t>
        </is>
      </c>
    </row>
    <row r="401">
      <c r="A401" t="inlineStr">
        <is>
          <t>FM000400</t>
        </is>
      </c>
      <c r="B401" t="inlineStr">
        <is>
          <t>2026-10-17</t>
        </is>
      </c>
      <c r="C401" t="inlineStr">
        <is>
          <t>Ngoại thành</t>
        </is>
      </c>
      <c r="D401" t="inlineStr">
        <is>
          <t>Nhanh</t>
        </is>
      </c>
      <c r="E401" t="n">
        <v>13.8</v>
      </c>
      <c r="F401" s="2">
        <f>IFERROR(VLOOKUP(C401&amp;"|"&amp;D401,Bang_gia!$A$2:$B$10,2,FALSE),"Không tìm thấy mã/khu vực/dịch vụ")</f>
        <v/>
      </c>
      <c r="G401" t="inlineStr">
        <is>
          <t>Chờ xử lý</t>
        </is>
      </c>
    </row>
    <row r="402">
      <c r="A402" t="inlineStr">
        <is>
          <t>FM000401</t>
        </is>
      </c>
      <c r="B402" t="inlineStr">
        <is>
          <t>2026-10-06</t>
        </is>
      </c>
      <c r="C402" t="inlineStr">
        <is>
          <t>Nội thành</t>
        </is>
      </c>
      <c r="D402" t="inlineStr">
        <is>
          <t>Tiêu chuẩn</t>
        </is>
      </c>
      <c r="E402" t="n">
        <v>12.1</v>
      </c>
      <c r="F402" s="2">
        <f>IFERROR(VLOOKUP(C402&amp;"|"&amp;D402,Bang_gia!$A$2:$B$10,2,FALSE),"Không tìm thấy mã/khu vực/dịch vụ")</f>
        <v/>
      </c>
      <c r="G402" t="inlineStr">
        <is>
          <t>Đã giao</t>
        </is>
      </c>
    </row>
    <row r="403">
      <c r="A403" t="inlineStr">
        <is>
          <t>FM000402</t>
        </is>
      </c>
      <c r="B403" t="inlineStr">
        <is>
          <t>2026-10-23</t>
        </is>
      </c>
      <c r="C403" t="inlineStr">
        <is>
          <t>Liên tỉnh</t>
        </is>
      </c>
      <c r="D403" t="inlineStr">
        <is>
          <t>Tiêu chuẩn</t>
        </is>
      </c>
      <c r="E403" t="n">
        <v>7.6</v>
      </c>
      <c r="F403" s="2">
        <f>IFERROR(VLOOKUP(C403&amp;"|"&amp;D403,Bang_gia!$A$2:$B$10,2,FALSE),"Không tìm thấy mã/khu vực/dịch vụ")</f>
        <v/>
      </c>
      <c r="G403" t="inlineStr">
        <is>
          <t>Mới tạo</t>
        </is>
      </c>
    </row>
    <row r="404">
      <c r="A404" t="inlineStr">
        <is>
          <t>FM000403</t>
        </is>
      </c>
      <c r="B404" t="inlineStr">
        <is>
          <t>2026-10-19</t>
        </is>
      </c>
      <c r="C404" t="inlineStr">
        <is>
          <t>Liên tỉnh</t>
        </is>
      </c>
      <c r="D404" t="inlineStr">
        <is>
          <t>Hỏa tốc</t>
        </is>
      </c>
      <c r="E404" t="n">
        <v>13.2</v>
      </c>
      <c r="F404" s="2">
        <f>IFERROR(VLOOKUP(C404&amp;"|"&amp;D404,Bang_gia!$A$2:$B$10,2,FALSE),"Không tìm thấy mã/khu vực/dịch vụ")</f>
        <v/>
      </c>
      <c r="G404" t="inlineStr">
        <is>
          <t>Chờ xử lý</t>
        </is>
      </c>
    </row>
    <row r="405">
      <c r="A405" t="inlineStr">
        <is>
          <t>FM000404</t>
        </is>
      </c>
      <c r="B405" t="inlineStr">
        <is>
          <t>2026-10-13</t>
        </is>
      </c>
      <c r="C405" t="inlineStr">
        <is>
          <t>Nội thành</t>
        </is>
      </c>
      <c r="D405" t="inlineStr">
        <is>
          <t>Hỏa tốc</t>
        </is>
      </c>
      <c r="E405" t="n">
        <v>15.6</v>
      </c>
      <c r="F405" s="2">
        <f>IFERROR(VLOOKUP(C405&amp;"|"&amp;D405,Bang_gia!$A$2:$B$10,2,FALSE),"Không tìm thấy mã/khu vực/dịch vụ")</f>
        <v/>
      </c>
      <c r="G405" t="inlineStr">
        <is>
          <t>Chờ xử lý</t>
        </is>
      </c>
    </row>
    <row r="406">
      <c r="A406" t="inlineStr">
        <is>
          <t>FM000405</t>
        </is>
      </c>
      <c r="B406" t="inlineStr">
        <is>
          <t>2026-10-19</t>
        </is>
      </c>
      <c r="C406" t="inlineStr">
        <is>
          <t>Liên tỉnh</t>
        </is>
      </c>
      <c r="D406" t="inlineStr">
        <is>
          <t>Tiêu chuẩn</t>
        </is>
      </c>
      <c r="E406" t="n">
        <v>10.3</v>
      </c>
      <c r="F406" s="2">
        <f>IFERROR(VLOOKUP(C406&amp;"|"&amp;D406,Bang_gia!$A$2:$B$10,2,FALSE),"Không tìm thấy mã/khu vực/dịch vụ")</f>
        <v/>
      </c>
      <c r="G406" t="inlineStr">
        <is>
          <t>Đã giao</t>
        </is>
      </c>
    </row>
    <row r="407">
      <c r="A407" t="inlineStr">
        <is>
          <t>FM000406</t>
        </is>
      </c>
      <c r="B407" t="inlineStr">
        <is>
          <t>2026-10-10</t>
        </is>
      </c>
      <c r="C407" t="inlineStr">
        <is>
          <t>Nội thành</t>
        </is>
      </c>
      <c r="D407" t="inlineStr">
        <is>
          <t>Hỏa tốc</t>
        </is>
      </c>
      <c r="E407" t="n">
        <v>2.3</v>
      </c>
      <c r="F407" s="2">
        <f>IFERROR(VLOOKUP(C407&amp;"|"&amp;D407,Bang_gia!$A$2:$B$10,2,FALSE),"Không tìm thấy mã/khu vực/dịch vụ")</f>
        <v/>
      </c>
      <c r="G407" t="inlineStr">
        <is>
          <t>Mới tạo</t>
        </is>
      </c>
    </row>
    <row r="408">
      <c r="A408" t="inlineStr">
        <is>
          <t>FM000407</t>
        </is>
      </c>
      <c r="B408" t="inlineStr">
        <is>
          <t>2026-10-11</t>
        </is>
      </c>
      <c r="C408" t="inlineStr">
        <is>
          <t>Liên tỉnh</t>
        </is>
      </c>
      <c r="D408" t="inlineStr">
        <is>
          <t>Hỏa tốc</t>
        </is>
      </c>
      <c r="E408" t="n">
        <v>10.5</v>
      </c>
      <c r="F408" s="2">
        <f>IFERROR(VLOOKUP(C408&amp;"|"&amp;D408,Bang_gia!$A$2:$B$10,2,FALSE),"Không tìm thấy mã/khu vực/dịch vụ")</f>
        <v/>
      </c>
      <c r="G408" t="inlineStr">
        <is>
          <t>Đang giao</t>
        </is>
      </c>
    </row>
    <row r="409">
      <c r="A409" t="inlineStr">
        <is>
          <t>FM000408</t>
        </is>
      </c>
      <c r="B409" t="inlineStr">
        <is>
          <t>2026-10-03</t>
        </is>
      </c>
      <c r="C409" t="inlineStr">
        <is>
          <t>Liên tỉnh</t>
        </is>
      </c>
      <c r="D409" t="inlineStr">
        <is>
          <t>Nhanh</t>
        </is>
      </c>
      <c r="E409" t="n">
        <v>8.5</v>
      </c>
      <c r="F409" s="2">
        <f>IFERROR(VLOOKUP(C409&amp;"|"&amp;D409,Bang_gia!$A$2:$B$10,2,FALSE),"Không tìm thấy mã/khu vực/dịch vụ")</f>
        <v/>
      </c>
      <c r="G409" t="inlineStr">
        <is>
          <t>Chờ xử lý</t>
        </is>
      </c>
    </row>
    <row r="410">
      <c r="A410" t="inlineStr">
        <is>
          <t>FM000409</t>
        </is>
      </c>
      <c r="B410" t="inlineStr">
        <is>
          <t>2026-10-17</t>
        </is>
      </c>
      <c r="C410" t="inlineStr">
        <is>
          <t>Nội thành</t>
        </is>
      </c>
      <c r="D410" t="inlineStr">
        <is>
          <t>Hỏa tốc</t>
        </is>
      </c>
      <c r="E410" t="n">
        <v>6</v>
      </c>
      <c r="F410" s="2">
        <f>IFERROR(VLOOKUP(C410&amp;"|"&amp;D410,Bang_gia!$A$2:$B$10,2,FALSE),"Không tìm thấy mã/khu vực/dịch vụ")</f>
        <v/>
      </c>
      <c r="G410" t="inlineStr">
        <is>
          <t>Chờ xử lý</t>
        </is>
      </c>
    </row>
    <row r="411">
      <c r="A411" t="inlineStr">
        <is>
          <t>FM000410</t>
        </is>
      </c>
      <c r="B411" t="inlineStr">
        <is>
          <t>2026-10-02</t>
        </is>
      </c>
      <c r="C411" t="inlineStr">
        <is>
          <t>Ngoại thành</t>
        </is>
      </c>
      <c r="D411" t="inlineStr">
        <is>
          <t>Tiêu chuẩn</t>
        </is>
      </c>
      <c r="E411" t="n">
        <v>14.9</v>
      </c>
      <c r="F411" s="2">
        <f>IFERROR(VLOOKUP(C411&amp;"|"&amp;D411,Bang_gia!$A$2:$B$10,2,FALSE),"Không tìm thấy mã/khu vực/dịch vụ")</f>
        <v/>
      </c>
      <c r="G411" t="inlineStr">
        <is>
          <t>Mới tạo</t>
        </is>
      </c>
    </row>
    <row r="412">
      <c r="A412" t="inlineStr">
        <is>
          <t>FM000411</t>
        </is>
      </c>
      <c r="B412" t="inlineStr">
        <is>
          <t>2026-10-11</t>
        </is>
      </c>
      <c r="C412" t="inlineStr">
        <is>
          <t>Ngoại thành</t>
        </is>
      </c>
      <c r="D412" t="inlineStr">
        <is>
          <t>Tiêu chuẩn</t>
        </is>
      </c>
      <c r="E412" t="n">
        <v>5.5</v>
      </c>
      <c r="F412" s="2">
        <f>IFERROR(VLOOKUP(C412&amp;"|"&amp;D412,Bang_gia!$A$2:$B$10,2,FALSE),"Không tìm thấy mã/khu vực/dịch vụ")</f>
        <v/>
      </c>
      <c r="G412" t="inlineStr">
        <is>
          <t>Đang giao</t>
        </is>
      </c>
    </row>
    <row r="413">
      <c r="A413" t="inlineStr">
        <is>
          <t>FM000412</t>
        </is>
      </c>
      <c r="B413" t="inlineStr">
        <is>
          <t>2026-10-19</t>
        </is>
      </c>
      <c r="C413" t="inlineStr">
        <is>
          <t>Liên tỉnh</t>
        </is>
      </c>
      <c r="D413" t="inlineStr">
        <is>
          <t>Hỏa tốc</t>
        </is>
      </c>
      <c r="E413" t="n">
        <v>2.6</v>
      </c>
      <c r="F413" s="2">
        <f>IFERROR(VLOOKUP(C413&amp;"|"&amp;D413,Bang_gia!$A$2:$B$10,2,FALSE),"Không tìm thấy mã/khu vực/dịch vụ")</f>
        <v/>
      </c>
      <c r="G413" t="inlineStr">
        <is>
          <t>Đã giao</t>
        </is>
      </c>
    </row>
    <row r="414">
      <c r="A414" t="inlineStr">
        <is>
          <t>FM000413</t>
        </is>
      </c>
      <c r="B414" t="inlineStr">
        <is>
          <t>2026-10-09</t>
        </is>
      </c>
      <c r="C414" t="inlineStr">
        <is>
          <t>Liên tỉnh</t>
        </is>
      </c>
      <c r="D414" t="inlineStr">
        <is>
          <t>Tiêu chuẩn</t>
        </is>
      </c>
      <c r="E414" t="n">
        <v>5.2</v>
      </c>
      <c r="F414" s="2">
        <f>IFERROR(VLOOKUP(C414&amp;"|"&amp;D414,Bang_gia!$A$2:$B$10,2,FALSE),"Không tìm thấy mã/khu vực/dịch vụ")</f>
        <v/>
      </c>
      <c r="G414" t="inlineStr">
        <is>
          <t>Đã giao</t>
        </is>
      </c>
    </row>
    <row r="415">
      <c r="A415" t="inlineStr">
        <is>
          <t>FM000414</t>
        </is>
      </c>
      <c r="B415" t="inlineStr">
        <is>
          <t>2026-10-01</t>
        </is>
      </c>
      <c r="C415" t="inlineStr">
        <is>
          <t>Ngoại thành</t>
        </is>
      </c>
      <c r="D415" t="inlineStr">
        <is>
          <t>Nhanh</t>
        </is>
      </c>
      <c r="E415" t="n">
        <v>14.2</v>
      </c>
      <c r="F415" s="2">
        <f>IFERROR(VLOOKUP(C415&amp;"|"&amp;D415,Bang_gia!$A$2:$B$10,2,FALSE),"Không tìm thấy mã/khu vực/dịch vụ")</f>
        <v/>
      </c>
      <c r="G415" t="inlineStr">
        <is>
          <t>Đang giao</t>
        </is>
      </c>
    </row>
    <row r="416">
      <c r="A416" t="inlineStr">
        <is>
          <t>FM000415</t>
        </is>
      </c>
      <c r="B416" t="inlineStr">
        <is>
          <t>2026-10-18</t>
        </is>
      </c>
      <c r="C416" t="inlineStr">
        <is>
          <t>Nội thành</t>
        </is>
      </c>
      <c r="D416" t="inlineStr">
        <is>
          <t>Hỏa tốc</t>
        </is>
      </c>
      <c r="E416" t="n">
        <v>5.3</v>
      </c>
      <c r="F416" s="2">
        <f>IFERROR(VLOOKUP(C416&amp;"|"&amp;D416,Bang_gia!$A$2:$B$10,2,FALSE),"Không tìm thấy mã/khu vực/dịch vụ")</f>
        <v/>
      </c>
      <c r="G416" t="inlineStr">
        <is>
          <t>Đang giao</t>
        </is>
      </c>
    </row>
    <row r="417">
      <c r="A417" t="inlineStr">
        <is>
          <t>FM000416</t>
        </is>
      </c>
      <c r="B417" t="inlineStr">
        <is>
          <t>2026-10-09</t>
        </is>
      </c>
      <c r="C417" t="inlineStr">
        <is>
          <t>Liên tỉnh</t>
        </is>
      </c>
      <c r="D417" t="inlineStr">
        <is>
          <t>Tiêu chuẩn</t>
        </is>
      </c>
      <c r="E417" t="n">
        <v>16.9</v>
      </c>
      <c r="F417" s="2">
        <f>IFERROR(VLOOKUP(C417&amp;"|"&amp;D417,Bang_gia!$A$2:$B$10,2,FALSE),"Không tìm thấy mã/khu vực/dịch vụ")</f>
        <v/>
      </c>
      <c r="G417" t="inlineStr">
        <is>
          <t>Mới tạo</t>
        </is>
      </c>
    </row>
    <row r="418">
      <c r="A418" t="inlineStr">
        <is>
          <t>FM000417</t>
        </is>
      </c>
      <c r="B418" t="inlineStr">
        <is>
          <t>2026-10-16</t>
        </is>
      </c>
      <c r="C418" t="inlineStr">
        <is>
          <t>Ngoại thành</t>
        </is>
      </c>
      <c r="D418" t="inlineStr">
        <is>
          <t>Tiêu chuẩn</t>
        </is>
      </c>
      <c r="E418" t="n">
        <v>14.1</v>
      </c>
      <c r="F418" s="2">
        <f>IFERROR(VLOOKUP(C418&amp;"|"&amp;D418,Bang_gia!$A$2:$B$10,2,FALSE),"Không tìm thấy mã/khu vực/dịch vụ")</f>
        <v/>
      </c>
      <c r="G418" t="inlineStr">
        <is>
          <t>Mới tạo</t>
        </is>
      </c>
    </row>
    <row r="419">
      <c r="A419" t="inlineStr">
        <is>
          <t>FM000418</t>
        </is>
      </c>
      <c r="B419" t="inlineStr">
        <is>
          <t>2026-10-04</t>
        </is>
      </c>
      <c r="C419" t="inlineStr">
        <is>
          <t>Nội thành</t>
        </is>
      </c>
      <c r="D419" t="inlineStr">
        <is>
          <t>Tiêu chuẩn</t>
        </is>
      </c>
      <c r="E419" t="n">
        <v>5.7</v>
      </c>
      <c r="F419" s="2">
        <f>IFERROR(VLOOKUP(C419&amp;"|"&amp;D419,Bang_gia!$A$2:$B$10,2,FALSE),"Không tìm thấy mã/khu vực/dịch vụ")</f>
        <v/>
      </c>
      <c r="G419" t="inlineStr">
        <is>
          <t>Mới tạo</t>
        </is>
      </c>
    </row>
    <row r="420">
      <c r="A420" t="inlineStr">
        <is>
          <t>FM000419</t>
        </is>
      </c>
      <c r="B420" t="inlineStr">
        <is>
          <t>2026-10-09</t>
        </is>
      </c>
      <c r="C420" t="inlineStr">
        <is>
          <t>Ngoại thành</t>
        </is>
      </c>
      <c r="D420" t="inlineStr">
        <is>
          <t>Hỏa tốc</t>
        </is>
      </c>
      <c r="E420" t="n">
        <v>8.699999999999999</v>
      </c>
      <c r="F420" s="2">
        <f>IFERROR(VLOOKUP(C420&amp;"|"&amp;D420,Bang_gia!$A$2:$B$10,2,FALSE),"Không tìm thấy mã/khu vực/dịch vụ")</f>
        <v/>
      </c>
      <c r="G420" t="inlineStr">
        <is>
          <t>Chờ xử lý</t>
        </is>
      </c>
    </row>
    <row r="421">
      <c r="A421" t="inlineStr">
        <is>
          <t>FM000420</t>
        </is>
      </c>
      <c r="B421" t="inlineStr">
        <is>
          <t>2026-10-01</t>
        </is>
      </c>
      <c r="C421" t="inlineStr">
        <is>
          <t>Nội thành</t>
        </is>
      </c>
      <c r="D421" t="inlineStr">
        <is>
          <t>Hỏa tốc</t>
        </is>
      </c>
      <c r="E421" t="n">
        <v>17.8</v>
      </c>
      <c r="F421" s="2">
        <f>IFERROR(VLOOKUP(C421&amp;"|"&amp;D421,Bang_gia!$A$2:$B$10,2,FALSE),"Không tìm thấy mã/khu vực/dịch vụ")</f>
        <v/>
      </c>
      <c r="G421" t="inlineStr">
        <is>
          <t>Chờ xử lý</t>
        </is>
      </c>
    </row>
    <row r="422">
      <c r="A422" t="inlineStr">
        <is>
          <t>FM000421</t>
        </is>
      </c>
      <c r="B422" t="inlineStr">
        <is>
          <t>2026-10-10</t>
        </is>
      </c>
      <c r="C422" t="inlineStr">
        <is>
          <t>Nội thành</t>
        </is>
      </c>
      <c r="D422" t="inlineStr">
        <is>
          <t>Nhanh</t>
        </is>
      </c>
      <c r="E422" t="n">
        <v>5.5</v>
      </c>
      <c r="F422" s="2">
        <f>IFERROR(VLOOKUP(C422&amp;"|"&amp;D422,Bang_gia!$A$2:$B$10,2,FALSE),"Không tìm thấy mã/khu vực/dịch vụ")</f>
        <v/>
      </c>
      <c r="G422" t="inlineStr">
        <is>
          <t>Mới tạo</t>
        </is>
      </c>
    </row>
    <row r="423">
      <c r="A423" t="inlineStr">
        <is>
          <t>FM000422</t>
        </is>
      </c>
      <c r="B423" t="inlineStr">
        <is>
          <t>2026-10-07</t>
        </is>
      </c>
      <c r="C423" t="inlineStr">
        <is>
          <t>Ngoại thành</t>
        </is>
      </c>
      <c r="D423" t="inlineStr">
        <is>
          <t>Nhanh</t>
        </is>
      </c>
      <c r="E423" t="n">
        <v>9.300000000000001</v>
      </c>
      <c r="F423" s="2">
        <f>IFERROR(VLOOKUP(C423&amp;"|"&amp;D423,Bang_gia!$A$2:$B$10,2,FALSE),"Không tìm thấy mã/khu vực/dịch vụ")</f>
        <v/>
      </c>
      <c r="G423" t="inlineStr">
        <is>
          <t>Mới tạo</t>
        </is>
      </c>
    </row>
    <row r="424">
      <c r="A424" t="inlineStr">
        <is>
          <t>FM000423</t>
        </is>
      </c>
      <c r="B424" t="inlineStr">
        <is>
          <t>2026-10-03</t>
        </is>
      </c>
      <c r="C424" t="inlineStr">
        <is>
          <t>Nội thành</t>
        </is>
      </c>
      <c r="D424" t="inlineStr">
        <is>
          <t>Nhanh</t>
        </is>
      </c>
      <c r="E424" t="n">
        <v>12.3</v>
      </c>
      <c r="F424" s="2">
        <f>IFERROR(VLOOKUP(C424&amp;"|"&amp;D424,Bang_gia!$A$2:$B$10,2,FALSE),"Không tìm thấy mã/khu vực/dịch vụ")</f>
        <v/>
      </c>
      <c r="G424" t="inlineStr">
        <is>
          <t>Đã giao</t>
        </is>
      </c>
    </row>
    <row r="425">
      <c r="A425" t="inlineStr">
        <is>
          <t>FM000424</t>
        </is>
      </c>
      <c r="B425" t="inlineStr">
        <is>
          <t>2026-10-03</t>
        </is>
      </c>
      <c r="C425" t="inlineStr">
        <is>
          <t>Ngoại thành</t>
        </is>
      </c>
      <c r="D425" t="inlineStr">
        <is>
          <t>Nhanh</t>
        </is>
      </c>
      <c r="E425" t="n">
        <v>10.9</v>
      </c>
      <c r="F425" s="2">
        <f>IFERROR(VLOOKUP(C425&amp;"|"&amp;D425,Bang_gia!$A$2:$B$10,2,FALSE),"Không tìm thấy mã/khu vực/dịch vụ")</f>
        <v/>
      </c>
      <c r="G425" t="inlineStr">
        <is>
          <t>Đang giao</t>
        </is>
      </c>
    </row>
    <row r="426">
      <c r="A426" t="inlineStr">
        <is>
          <t>FM000425</t>
        </is>
      </c>
      <c r="B426" t="inlineStr">
        <is>
          <t>2026-10-07</t>
        </is>
      </c>
      <c r="C426" t="inlineStr">
        <is>
          <t>Liên tỉnh</t>
        </is>
      </c>
      <c r="D426" t="inlineStr">
        <is>
          <t>Hỏa tốc</t>
        </is>
      </c>
      <c r="E426" t="n">
        <v>17.8</v>
      </c>
      <c r="F426" s="2">
        <f>IFERROR(VLOOKUP(C426&amp;"|"&amp;D426,Bang_gia!$A$2:$B$10,2,FALSE),"Không tìm thấy mã/khu vực/dịch vụ")</f>
        <v/>
      </c>
      <c r="G426" t="inlineStr">
        <is>
          <t>Mới tạo</t>
        </is>
      </c>
    </row>
    <row r="427">
      <c r="A427" t="inlineStr">
        <is>
          <t>FM000426</t>
        </is>
      </c>
      <c r="B427" t="inlineStr">
        <is>
          <t>2026-10-23</t>
        </is>
      </c>
      <c r="C427" t="inlineStr">
        <is>
          <t>Liên tỉnh</t>
        </is>
      </c>
      <c r="D427" t="inlineStr">
        <is>
          <t>Nhanh</t>
        </is>
      </c>
      <c r="E427" t="n">
        <v>15.1</v>
      </c>
      <c r="F427" s="2">
        <f>IFERROR(VLOOKUP(C427&amp;"|"&amp;D427,Bang_gia!$A$2:$B$10,2,FALSE),"Không tìm thấy mã/khu vực/dịch vụ")</f>
        <v/>
      </c>
      <c r="G427" t="inlineStr">
        <is>
          <t>Mới tạo</t>
        </is>
      </c>
    </row>
    <row r="428">
      <c r="A428" t="inlineStr">
        <is>
          <t>FM000427</t>
        </is>
      </c>
      <c r="B428" t="inlineStr">
        <is>
          <t>2026-10-25</t>
        </is>
      </c>
      <c r="C428" t="inlineStr">
        <is>
          <t>Nội thành</t>
        </is>
      </c>
      <c r="D428" t="inlineStr">
        <is>
          <t>Hỏa tốc</t>
        </is>
      </c>
      <c r="E428" t="n">
        <v>2.5</v>
      </c>
      <c r="F428" s="2">
        <f>IFERROR(VLOOKUP(C428&amp;"|"&amp;D428,Bang_gia!$A$2:$B$10,2,FALSE),"Không tìm thấy mã/khu vực/dịch vụ")</f>
        <v/>
      </c>
      <c r="G428" t="inlineStr">
        <is>
          <t>Chờ xử lý</t>
        </is>
      </c>
    </row>
    <row r="429">
      <c r="A429" t="inlineStr">
        <is>
          <t>FM000428</t>
        </is>
      </c>
      <c r="B429" t="inlineStr">
        <is>
          <t>2026-10-21</t>
        </is>
      </c>
      <c r="C429" t="inlineStr">
        <is>
          <t>Ngoại thành</t>
        </is>
      </c>
      <c r="D429" t="inlineStr">
        <is>
          <t>Nhanh</t>
        </is>
      </c>
      <c r="E429" t="n">
        <v>16.9</v>
      </c>
      <c r="F429" s="2">
        <f>IFERROR(VLOOKUP(C429&amp;"|"&amp;D429,Bang_gia!$A$2:$B$10,2,FALSE),"Không tìm thấy mã/khu vực/dịch vụ")</f>
        <v/>
      </c>
      <c r="G429" t="inlineStr">
        <is>
          <t>Đang giao</t>
        </is>
      </c>
    </row>
    <row r="430">
      <c r="A430" t="inlineStr">
        <is>
          <t>FM000429</t>
        </is>
      </c>
      <c r="B430" t="inlineStr">
        <is>
          <t>2026-10-18</t>
        </is>
      </c>
      <c r="C430" t="inlineStr">
        <is>
          <t>Liên tỉnh</t>
        </is>
      </c>
      <c r="D430" t="inlineStr">
        <is>
          <t>Nhanh</t>
        </is>
      </c>
      <c r="E430" t="n">
        <v>6.1</v>
      </c>
      <c r="F430" s="2">
        <f>IFERROR(VLOOKUP(C430&amp;"|"&amp;D430,Bang_gia!$A$2:$B$10,2,FALSE),"Không tìm thấy mã/khu vực/dịch vụ")</f>
        <v/>
      </c>
      <c r="G430" t="inlineStr">
        <is>
          <t>Đã giao</t>
        </is>
      </c>
    </row>
    <row r="431">
      <c r="A431" t="inlineStr">
        <is>
          <t>FM000430</t>
        </is>
      </c>
      <c r="B431" t="inlineStr">
        <is>
          <t>2026-10-26</t>
        </is>
      </c>
      <c r="C431" t="inlineStr">
        <is>
          <t>Liên tỉnh</t>
        </is>
      </c>
      <c r="D431" t="inlineStr">
        <is>
          <t>Nhanh</t>
        </is>
      </c>
      <c r="E431" t="n">
        <v>10.6</v>
      </c>
      <c r="F431" s="2">
        <f>IFERROR(VLOOKUP(C431&amp;"|"&amp;D431,Bang_gia!$A$2:$B$10,2,FALSE),"Không tìm thấy mã/khu vực/dịch vụ")</f>
        <v/>
      </c>
      <c r="G431" t="inlineStr">
        <is>
          <t>Đã giao</t>
        </is>
      </c>
    </row>
    <row r="432">
      <c r="A432" t="inlineStr">
        <is>
          <t>FM000431</t>
        </is>
      </c>
      <c r="B432" t="inlineStr">
        <is>
          <t>2026-10-20</t>
        </is>
      </c>
      <c r="C432" t="inlineStr">
        <is>
          <t>Nội thành</t>
        </is>
      </c>
      <c r="D432" t="inlineStr">
        <is>
          <t>Nhanh</t>
        </is>
      </c>
      <c r="E432" t="n">
        <v>13.2</v>
      </c>
      <c r="F432" s="2">
        <f>IFERROR(VLOOKUP(C432&amp;"|"&amp;D432,Bang_gia!$A$2:$B$10,2,FALSE),"Không tìm thấy mã/khu vực/dịch vụ")</f>
        <v/>
      </c>
      <c r="G432" t="inlineStr">
        <is>
          <t>Đã giao</t>
        </is>
      </c>
    </row>
    <row r="433">
      <c r="A433" t="inlineStr">
        <is>
          <t>FM000432</t>
        </is>
      </c>
      <c r="B433" t="inlineStr">
        <is>
          <t>2026-10-26</t>
        </is>
      </c>
      <c r="C433" t="inlineStr">
        <is>
          <t>Ngoại thành</t>
        </is>
      </c>
      <c r="D433" t="inlineStr">
        <is>
          <t>Hỏa tốc</t>
        </is>
      </c>
      <c r="E433" t="n">
        <v>11</v>
      </c>
      <c r="F433" s="2">
        <f>IFERROR(VLOOKUP(C433&amp;"|"&amp;D433,Bang_gia!$A$2:$B$10,2,FALSE),"Không tìm thấy mã/khu vực/dịch vụ")</f>
        <v/>
      </c>
      <c r="G433" t="inlineStr">
        <is>
          <t>Chờ xử lý</t>
        </is>
      </c>
    </row>
    <row r="434">
      <c r="A434" t="inlineStr">
        <is>
          <t>FM000433</t>
        </is>
      </c>
      <c r="B434" t="inlineStr">
        <is>
          <t>2026-10-05</t>
        </is>
      </c>
      <c r="C434" t="inlineStr">
        <is>
          <t>Nội thành</t>
        </is>
      </c>
      <c r="D434" t="inlineStr">
        <is>
          <t>Tiêu chuẩn</t>
        </is>
      </c>
      <c r="E434" t="n">
        <v>5.4</v>
      </c>
      <c r="F434" s="2">
        <f>IFERROR(VLOOKUP(C434&amp;"|"&amp;D434,Bang_gia!$A$2:$B$10,2,FALSE),"Không tìm thấy mã/khu vực/dịch vụ")</f>
        <v/>
      </c>
      <c r="G434" t="inlineStr">
        <is>
          <t>Mới tạo</t>
        </is>
      </c>
    </row>
    <row r="435">
      <c r="A435" t="inlineStr">
        <is>
          <t>FM000434</t>
        </is>
      </c>
      <c r="B435" t="inlineStr">
        <is>
          <t>2026-10-21</t>
        </is>
      </c>
      <c r="C435" t="inlineStr">
        <is>
          <t>Ngoại thành</t>
        </is>
      </c>
      <c r="D435" t="inlineStr">
        <is>
          <t>Tiêu chuẩn</t>
        </is>
      </c>
      <c r="E435" t="n">
        <v>5.9</v>
      </c>
      <c r="F435" s="2">
        <f>IFERROR(VLOOKUP(C435&amp;"|"&amp;D435,Bang_gia!$A$2:$B$10,2,FALSE),"Không tìm thấy mã/khu vực/dịch vụ")</f>
        <v/>
      </c>
      <c r="G435" t="inlineStr">
        <is>
          <t>Mới tạo</t>
        </is>
      </c>
    </row>
    <row r="436">
      <c r="A436" t="inlineStr">
        <is>
          <t>FM000435</t>
        </is>
      </c>
      <c r="B436" t="inlineStr">
        <is>
          <t>2026-10-08</t>
        </is>
      </c>
      <c r="C436" t="inlineStr">
        <is>
          <t>Ngoại thành</t>
        </is>
      </c>
      <c r="D436" t="inlineStr">
        <is>
          <t>Nhanh</t>
        </is>
      </c>
      <c r="E436" t="n">
        <v>8.300000000000001</v>
      </c>
      <c r="F436" s="2">
        <f>IFERROR(VLOOKUP(C436&amp;"|"&amp;D436,Bang_gia!$A$2:$B$10,2,FALSE),"Không tìm thấy mã/khu vực/dịch vụ")</f>
        <v/>
      </c>
      <c r="G436" t="inlineStr">
        <is>
          <t>Chờ xử lý</t>
        </is>
      </c>
    </row>
    <row r="437">
      <c r="A437" t="inlineStr">
        <is>
          <t>FM000436</t>
        </is>
      </c>
      <c r="B437" t="inlineStr">
        <is>
          <t>2026-10-19</t>
        </is>
      </c>
      <c r="C437" t="inlineStr">
        <is>
          <t>Liên tỉnh</t>
        </is>
      </c>
      <c r="D437" t="inlineStr">
        <is>
          <t>Tiêu chuẩn</t>
        </is>
      </c>
      <c r="E437" t="n">
        <v>3.5</v>
      </c>
      <c r="F437" s="2">
        <f>IFERROR(VLOOKUP(C437&amp;"|"&amp;D437,Bang_gia!$A$2:$B$10,2,FALSE),"Không tìm thấy mã/khu vực/dịch vụ")</f>
        <v/>
      </c>
      <c r="G437" t="inlineStr">
        <is>
          <t>Đã giao</t>
        </is>
      </c>
    </row>
    <row r="438">
      <c r="A438" t="inlineStr">
        <is>
          <t>FM000437</t>
        </is>
      </c>
      <c r="B438" t="inlineStr">
        <is>
          <t>2026-10-09</t>
        </is>
      </c>
      <c r="C438" t="inlineStr">
        <is>
          <t>Ngoại thành</t>
        </is>
      </c>
      <c r="D438" t="inlineStr">
        <is>
          <t>Nhanh</t>
        </is>
      </c>
      <c r="E438" t="n">
        <v>13.8</v>
      </c>
      <c r="F438" s="2">
        <f>IFERROR(VLOOKUP(C438&amp;"|"&amp;D438,Bang_gia!$A$2:$B$10,2,FALSE),"Không tìm thấy mã/khu vực/dịch vụ")</f>
        <v/>
      </c>
      <c r="G438" t="inlineStr">
        <is>
          <t>Đã giao</t>
        </is>
      </c>
    </row>
    <row r="439">
      <c r="A439" t="inlineStr">
        <is>
          <t>FM000438</t>
        </is>
      </c>
      <c r="B439" t="inlineStr">
        <is>
          <t>2026-10-10</t>
        </is>
      </c>
      <c r="C439" t="inlineStr">
        <is>
          <t>Liên tỉnh</t>
        </is>
      </c>
      <c r="D439" t="inlineStr">
        <is>
          <t>Hỏa tốc</t>
        </is>
      </c>
      <c r="E439" t="n">
        <v>7.4</v>
      </c>
      <c r="F439" s="2">
        <f>IFERROR(VLOOKUP(C439&amp;"|"&amp;D439,Bang_gia!$A$2:$B$10,2,FALSE),"Không tìm thấy mã/khu vực/dịch vụ")</f>
        <v/>
      </c>
      <c r="G439" t="inlineStr">
        <is>
          <t>Chờ xử lý</t>
        </is>
      </c>
    </row>
    <row r="440">
      <c r="A440" t="inlineStr">
        <is>
          <t>FM000439</t>
        </is>
      </c>
      <c r="B440" t="inlineStr">
        <is>
          <t>2026-10-13</t>
        </is>
      </c>
      <c r="C440" t="inlineStr">
        <is>
          <t>Nội thành</t>
        </is>
      </c>
      <c r="D440" t="inlineStr">
        <is>
          <t>Tiêu chuẩn</t>
        </is>
      </c>
      <c r="E440" t="n">
        <v>16.4</v>
      </c>
      <c r="F440" s="2">
        <f>IFERROR(VLOOKUP(C440&amp;"|"&amp;D440,Bang_gia!$A$2:$B$10,2,FALSE),"Không tìm thấy mã/khu vực/dịch vụ")</f>
        <v/>
      </c>
      <c r="G440" t="inlineStr">
        <is>
          <t>Đã giao</t>
        </is>
      </c>
    </row>
    <row r="441">
      <c r="A441" t="inlineStr">
        <is>
          <t>FM000440</t>
        </is>
      </c>
      <c r="B441" t="inlineStr">
        <is>
          <t>2026-10-06</t>
        </is>
      </c>
      <c r="C441" t="inlineStr">
        <is>
          <t>Ngoại thành</t>
        </is>
      </c>
      <c r="D441" t="inlineStr">
        <is>
          <t>Tiêu chuẩn</t>
        </is>
      </c>
      <c r="E441" t="n">
        <v>5</v>
      </c>
      <c r="F441" s="2">
        <f>IFERROR(VLOOKUP(C441&amp;"|"&amp;D441,Bang_gia!$A$2:$B$10,2,FALSE),"Không tìm thấy mã/khu vực/dịch vụ")</f>
        <v/>
      </c>
      <c r="G441" t="inlineStr">
        <is>
          <t>Mới tạo</t>
        </is>
      </c>
    </row>
    <row r="442">
      <c r="A442" t="inlineStr">
        <is>
          <t>FM000441</t>
        </is>
      </c>
      <c r="B442" t="inlineStr">
        <is>
          <t>2026-10-02</t>
        </is>
      </c>
      <c r="C442" t="inlineStr">
        <is>
          <t>Ngoại thành</t>
        </is>
      </c>
      <c r="D442" t="inlineStr">
        <is>
          <t>Tiêu chuẩn</t>
        </is>
      </c>
      <c r="E442" t="n">
        <v>6.5</v>
      </c>
      <c r="F442" s="2">
        <f>IFERROR(VLOOKUP(C442&amp;"|"&amp;D442,Bang_gia!$A$2:$B$10,2,FALSE),"Không tìm thấy mã/khu vực/dịch vụ")</f>
        <v/>
      </c>
      <c r="G442" t="inlineStr">
        <is>
          <t>Mới tạo</t>
        </is>
      </c>
    </row>
    <row r="443">
      <c r="A443" t="inlineStr">
        <is>
          <t>FM000442</t>
        </is>
      </c>
      <c r="B443" t="inlineStr">
        <is>
          <t>2026-10-10</t>
        </is>
      </c>
      <c r="C443" t="inlineStr">
        <is>
          <t>Ngoại thành</t>
        </is>
      </c>
      <c r="D443" t="inlineStr">
        <is>
          <t>Nhanh</t>
        </is>
      </c>
      <c r="E443" t="n">
        <v>4.2</v>
      </c>
      <c r="F443" s="2">
        <f>IFERROR(VLOOKUP(C443&amp;"|"&amp;D443,Bang_gia!$A$2:$B$10,2,FALSE),"Không tìm thấy mã/khu vực/dịch vụ")</f>
        <v/>
      </c>
      <c r="G443" t="inlineStr">
        <is>
          <t>Chờ xử lý</t>
        </is>
      </c>
    </row>
    <row r="444">
      <c r="A444" t="inlineStr">
        <is>
          <t>FM000443</t>
        </is>
      </c>
      <c r="B444" t="inlineStr">
        <is>
          <t>2026-10-05</t>
        </is>
      </c>
      <c r="C444" t="inlineStr">
        <is>
          <t>Nội thành</t>
        </is>
      </c>
      <c r="D444" t="inlineStr">
        <is>
          <t>Hỏa tốc</t>
        </is>
      </c>
      <c r="E444" t="n">
        <v>17.5</v>
      </c>
      <c r="F444" s="2">
        <f>IFERROR(VLOOKUP(C444&amp;"|"&amp;D444,Bang_gia!$A$2:$B$10,2,FALSE),"Không tìm thấy mã/khu vực/dịch vụ")</f>
        <v/>
      </c>
      <c r="G444" t="inlineStr">
        <is>
          <t>Mới tạo</t>
        </is>
      </c>
    </row>
    <row r="445">
      <c r="A445" t="inlineStr">
        <is>
          <t>FM000444</t>
        </is>
      </c>
      <c r="B445" t="inlineStr">
        <is>
          <t>2026-10-20</t>
        </is>
      </c>
      <c r="C445" t="inlineStr">
        <is>
          <t>Nội thành</t>
        </is>
      </c>
      <c r="D445" t="inlineStr">
        <is>
          <t>Hỏa tốc</t>
        </is>
      </c>
      <c r="E445" t="n">
        <v>19</v>
      </c>
      <c r="F445" s="2">
        <f>IFERROR(VLOOKUP(C445&amp;"|"&amp;D445,Bang_gia!$A$2:$B$10,2,FALSE),"Không tìm thấy mã/khu vực/dịch vụ")</f>
        <v/>
      </c>
      <c r="G445" t="inlineStr">
        <is>
          <t>Chờ xử lý</t>
        </is>
      </c>
    </row>
    <row r="446">
      <c r="A446" t="inlineStr">
        <is>
          <t>FM000445</t>
        </is>
      </c>
      <c r="B446" t="inlineStr">
        <is>
          <t>2026-10-02</t>
        </is>
      </c>
      <c r="C446" t="inlineStr">
        <is>
          <t>Ngoại thành</t>
        </is>
      </c>
      <c r="D446" t="inlineStr">
        <is>
          <t>Hỏa tốc</t>
        </is>
      </c>
      <c r="E446" t="n">
        <v>9.300000000000001</v>
      </c>
      <c r="F446" s="2">
        <f>IFERROR(VLOOKUP(C446&amp;"|"&amp;D446,Bang_gia!$A$2:$B$10,2,FALSE),"Không tìm thấy mã/khu vực/dịch vụ")</f>
        <v/>
      </c>
      <c r="G446" t="inlineStr">
        <is>
          <t>Chờ xử lý</t>
        </is>
      </c>
    </row>
    <row r="447">
      <c r="A447" t="inlineStr">
        <is>
          <t>FM000446</t>
        </is>
      </c>
      <c r="B447" t="inlineStr">
        <is>
          <t>2026-10-23</t>
        </is>
      </c>
      <c r="C447" t="inlineStr">
        <is>
          <t>Nội thành</t>
        </is>
      </c>
      <c r="D447" t="inlineStr">
        <is>
          <t>Nhanh</t>
        </is>
      </c>
      <c r="E447" t="n">
        <v>16.3</v>
      </c>
      <c r="F447" s="2">
        <f>IFERROR(VLOOKUP(C447&amp;"|"&amp;D447,Bang_gia!$A$2:$B$10,2,FALSE),"Không tìm thấy mã/khu vực/dịch vụ")</f>
        <v/>
      </c>
      <c r="G447" t="inlineStr">
        <is>
          <t>Mới tạo</t>
        </is>
      </c>
    </row>
    <row r="448">
      <c r="A448" t="inlineStr">
        <is>
          <t>FM000447</t>
        </is>
      </c>
      <c r="B448" t="inlineStr">
        <is>
          <t>2026-10-15</t>
        </is>
      </c>
      <c r="C448" t="inlineStr">
        <is>
          <t>Ngoại thành</t>
        </is>
      </c>
      <c r="D448" t="inlineStr">
        <is>
          <t>Nhanh</t>
        </is>
      </c>
      <c r="E448" t="n">
        <v>13.7</v>
      </c>
      <c r="F448" s="2">
        <f>IFERROR(VLOOKUP(C448&amp;"|"&amp;D448,Bang_gia!$A$2:$B$10,2,FALSE),"Không tìm thấy mã/khu vực/dịch vụ")</f>
        <v/>
      </c>
      <c r="G448" t="inlineStr">
        <is>
          <t>Đang giao</t>
        </is>
      </c>
    </row>
    <row r="449">
      <c r="A449" t="inlineStr">
        <is>
          <t>FM000448</t>
        </is>
      </c>
      <c r="B449" t="inlineStr">
        <is>
          <t>2026-10-12</t>
        </is>
      </c>
      <c r="C449" t="inlineStr">
        <is>
          <t>Nội thành</t>
        </is>
      </c>
      <c r="D449" t="inlineStr">
        <is>
          <t>Tiêu chuẩn</t>
        </is>
      </c>
      <c r="E449" t="n">
        <v>20</v>
      </c>
      <c r="F449" s="2">
        <f>IFERROR(VLOOKUP(C449&amp;"|"&amp;D449,Bang_gia!$A$2:$B$10,2,FALSE),"Không tìm thấy mã/khu vực/dịch vụ")</f>
        <v/>
      </c>
      <c r="G449" t="inlineStr">
        <is>
          <t>Mới tạo</t>
        </is>
      </c>
    </row>
    <row r="450">
      <c r="A450" t="inlineStr">
        <is>
          <t>FM000449</t>
        </is>
      </c>
      <c r="B450" t="inlineStr">
        <is>
          <t>2026-10-19</t>
        </is>
      </c>
      <c r="C450" t="inlineStr">
        <is>
          <t>Nội thành</t>
        </is>
      </c>
      <c r="D450" t="inlineStr">
        <is>
          <t>Nhanh</t>
        </is>
      </c>
      <c r="E450" t="n">
        <v>18.2</v>
      </c>
      <c r="F450" s="2">
        <f>IFERROR(VLOOKUP(C450&amp;"|"&amp;D450,Bang_gia!$A$2:$B$10,2,FALSE),"Không tìm thấy mã/khu vực/dịch vụ")</f>
        <v/>
      </c>
      <c r="G450" t="inlineStr">
        <is>
          <t>Đang giao</t>
        </is>
      </c>
    </row>
    <row r="451">
      <c r="A451" t="inlineStr">
        <is>
          <t>FM000450</t>
        </is>
      </c>
      <c r="B451" t="inlineStr">
        <is>
          <t>2026-10-19</t>
        </is>
      </c>
      <c r="C451" t="inlineStr">
        <is>
          <t>Liên tỉnh</t>
        </is>
      </c>
      <c r="D451" t="inlineStr">
        <is>
          <t>Hỏa tốc</t>
        </is>
      </c>
      <c r="E451" t="n">
        <v>10.2</v>
      </c>
      <c r="F451" s="2">
        <f>IFERROR(VLOOKUP(C451&amp;"|"&amp;D451,Bang_gia!$A$2:$B$10,2,FALSE),"Không tìm thấy mã/khu vực/dịch vụ")</f>
        <v/>
      </c>
      <c r="G451" t="inlineStr">
        <is>
          <t>Đã giao</t>
        </is>
      </c>
    </row>
    <row r="452">
      <c r="A452" t="inlineStr">
        <is>
          <t>FM000451</t>
        </is>
      </c>
      <c r="B452" t="inlineStr">
        <is>
          <t>2026-10-20</t>
        </is>
      </c>
      <c r="C452" t="inlineStr">
        <is>
          <t>Nội thành</t>
        </is>
      </c>
      <c r="D452" t="inlineStr">
        <is>
          <t>Hỏa tốc</t>
        </is>
      </c>
      <c r="E452" t="n">
        <v>8.800000000000001</v>
      </c>
      <c r="F452" s="2">
        <f>IFERROR(VLOOKUP(C452&amp;"|"&amp;D452,Bang_gia!$A$2:$B$10,2,FALSE),"Không tìm thấy mã/khu vực/dịch vụ")</f>
        <v/>
      </c>
      <c r="G452" t="inlineStr">
        <is>
          <t>Chờ xử lý</t>
        </is>
      </c>
    </row>
    <row r="453">
      <c r="A453" t="inlineStr">
        <is>
          <t>FM000452</t>
        </is>
      </c>
      <c r="B453" t="inlineStr">
        <is>
          <t>2026-10-19</t>
        </is>
      </c>
      <c r="C453" t="inlineStr">
        <is>
          <t>Ngoại thành</t>
        </is>
      </c>
      <c r="D453" t="inlineStr">
        <is>
          <t>Nhanh</t>
        </is>
      </c>
      <c r="E453" t="n">
        <v>10</v>
      </c>
      <c r="F453" s="2">
        <f>IFERROR(VLOOKUP(C453&amp;"|"&amp;D453,Bang_gia!$A$2:$B$10,2,FALSE),"Không tìm thấy mã/khu vực/dịch vụ")</f>
        <v/>
      </c>
      <c r="G453" t="inlineStr">
        <is>
          <t>Mới tạo</t>
        </is>
      </c>
    </row>
    <row r="454">
      <c r="A454" t="inlineStr">
        <is>
          <t>FM000453</t>
        </is>
      </c>
      <c r="B454" t="inlineStr">
        <is>
          <t>2026-10-22</t>
        </is>
      </c>
      <c r="C454" t="inlineStr">
        <is>
          <t>Nội thành</t>
        </is>
      </c>
      <c r="D454" t="inlineStr">
        <is>
          <t>Nhanh</t>
        </is>
      </c>
      <c r="E454" t="n">
        <v>4.7</v>
      </c>
      <c r="F454" s="2">
        <f>IFERROR(VLOOKUP(C454&amp;"|"&amp;D454,Bang_gia!$A$2:$B$10,2,FALSE),"Không tìm thấy mã/khu vực/dịch vụ")</f>
        <v/>
      </c>
      <c r="G454" t="inlineStr">
        <is>
          <t>Chờ xử lý</t>
        </is>
      </c>
    </row>
    <row r="455">
      <c r="A455" t="inlineStr">
        <is>
          <t>FM000454</t>
        </is>
      </c>
      <c r="B455" t="inlineStr">
        <is>
          <t>2026-10-14</t>
        </is>
      </c>
      <c r="C455" t="inlineStr">
        <is>
          <t>Nội thành</t>
        </is>
      </c>
      <c r="D455" t="inlineStr">
        <is>
          <t>Tiêu chuẩn</t>
        </is>
      </c>
      <c r="E455" t="n">
        <v>4.1</v>
      </c>
      <c r="F455" s="2">
        <f>IFERROR(VLOOKUP(C455&amp;"|"&amp;D455,Bang_gia!$A$2:$B$10,2,FALSE),"Không tìm thấy mã/khu vực/dịch vụ")</f>
        <v/>
      </c>
      <c r="G455" t="inlineStr">
        <is>
          <t>Đang giao</t>
        </is>
      </c>
    </row>
    <row r="456">
      <c r="A456" t="inlineStr">
        <is>
          <t>FM000455</t>
        </is>
      </c>
      <c r="B456" t="inlineStr">
        <is>
          <t>2026-10-02</t>
        </is>
      </c>
      <c r="C456" t="inlineStr">
        <is>
          <t>Liên tỉnh</t>
        </is>
      </c>
      <c r="D456" t="inlineStr">
        <is>
          <t>Hỏa tốc</t>
        </is>
      </c>
      <c r="E456" t="n">
        <v>6.6</v>
      </c>
      <c r="F456" s="2">
        <f>IFERROR(VLOOKUP(C456&amp;"|"&amp;D456,Bang_gia!$A$2:$B$10,2,FALSE),"Không tìm thấy mã/khu vực/dịch vụ")</f>
        <v/>
      </c>
      <c r="G456" t="inlineStr">
        <is>
          <t>Đã giao</t>
        </is>
      </c>
    </row>
    <row r="457">
      <c r="A457" t="inlineStr">
        <is>
          <t>FM000456</t>
        </is>
      </c>
      <c r="B457" t="inlineStr">
        <is>
          <t>2026-10-12</t>
        </is>
      </c>
      <c r="C457" t="inlineStr">
        <is>
          <t>Nội thành</t>
        </is>
      </c>
      <c r="D457" t="inlineStr">
        <is>
          <t>Hỏa tốc</t>
        </is>
      </c>
      <c r="E457" t="n">
        <v>12.3</v>
      </c>
      <c r="F457" s="2">
        <f>IFERROR(VLOOKUP(C457&amp;"|"&amp;D457,Bang_gia!$A$2:$B$10,2,FALSE),"Không tìm thấy mã/khu vực/dịch vụ")</f>
        <v/>
      </c>
      <c r="G457" t="inlineStr">
        <is>
          <t>Đang giao</t>
        </is>
      </c>
    </row>
    <row r="458">
      <c r="A458" t="inlineStr">
        <is>
          <t>FM000457</t>
        </is>
      </c>
      <c r="B458" t="inlineStr">
        <is>
          <t>2026-10-19</t>
        </is>
      </c>
      <c r="C458" t="inlineStr">
        <is>
          <t>Liên tỉnh</t>
        </is>
      </c>
      <c r="D458" t="inlineStr">
        <is>
          <t>Hỏa tốc</t>
        </is>
      </c>
      <c r="E458" t="n">
        <v>3.3</v>
      </c>
      <c r="F458" s="2">
        <f>IFERROR(VLOOKUP(C458&amp;"|"&amp;D458,Bang_gia!$A$2:$B$10,2,FALSE),"Không tìm thấy mã/khu vực/dịch vụ")</f>
        <v/>
      </c>
      <c r="G458" t="inlineStr">
        <is>
          <t>Đang giao</t>
        </is>
      </c>
    </row>
    <row r="459">
      <c r="A459" t="inlineStr">
        <is>
          <t>FM000458</t>
        </is>
      </c>
      <c r="B459" t="inlineStr">
        <is>
          <t>2026-10-02</t>
        </is>
      </c>
      <c r="C459" t="inlineStr">
        <is>
          <t>Ngoại thành</t>
        </is>
      </c>
      <c r="D459" t="inlineStr">
        <is>
          <t>Tiêu chuẩn</t>
        </is>
      </c>
      <c r="E459" t="n">
        <v>9.9</v>
      </c>
      <c r="F459" s="2">
        <f>IFERROR(VLOOKUP(C459&amp;"|"&amp;D459,Bang_gia!$A$2:$B$10,2,FALSE),"Không tìm thấy mã/khu vực/dịch vụ")</f>
        <v/>
      </c>
      <c r="G459" t="inlineStr">
        <is>
          <t>Đã giao</t>
        </is>
      </c>
    </row>
    <row r="460">
      <c r="A460" t="inlineStr">
        <is>
          <t>FM000459</t>
        </is>
      </c>
      <c r="B460" t="inlineStr">
        <is>
          <t>2026-10-16</t>
        </is>
      </c>
      <c r="C460" t="inlineStr">
        <is>
          <t>Liên tỉnh</t>
        </is>
      </c>
      <c r="D460" t="inlineStr">
        <is>
          <t>Hỏa tốc</t>
        </is>
      </c>
      <c r="E460" t="n">
        <v>9.699999999999999</v>
      </c>
      <c r="F460" s="2">
        <f>IFERROR(VLOOKUP(C460&amp;"|"&amp;D460,Bang_gia!$A$2:$B$10,2,FALSE),"Không tìm thấy mã/khu vực/dịch vụ")</f>
        <v/>
      </c>
      <c r="G460" t="inlineStr">
        <is>
          <t>Chờ xử lý</t>
        </is>
      </c>
    </row>
    <row r="461">
      <c r="A461" t="inlineStr">
        <is>
          <t>FM000460</t>
        </is>
      </c>
      <c r="B461" t="inlineStr">
        <is>
          <t>2026-10-13</t>
        </is>
      </c>
      <c r="C461" t="inlineStr">
        <is>
          <t>Ngoại thành</t>
        </is>
      </c>
      <c r="D461" t="inlineStr">
        <is>
          <t>Hỏa tốc</t>
        </is>
      </c>
      <c r="E461" t="n">
        <v>2.7</v>
      </c>
      <c r="F461" s="2">
        <f>IFERROR(VLOOKUP(C461&amp;"|"&amp;D461,Bang_gia!$A$2:$B$10,2,FALSE),"Không tìm thấy mã/khu vực/dịch vụ")</f>
        <v/>
      </c>
      <c r="G461" t="inlineStr">
        <is>
          <t>Đang giao</t>
        </is>
      </c>
    </row>
    <row r="462">
      <c r="A462" t="inlineStr">
        <is>
          <t>FM000461</t>
        </is>
      </c>
      <c r="B462" t="inlineStr">
        <is>
          <t>2026-10-21</t>
        </is>
      </c>
      <c r="C462" t="inlineStr">
        <is>
          <t>Nội thành</t>
        </is>
      </c>
      <c r="D462" t="inlineStr">
        <is>
          <t>Hỏa tốc</t>
        </is>
      </c>
      <c r="E462" t="n">
        <v>16.2</v>
      </c>
      <c r="F462" s="2">
        <f>IFERROR(VLOOKUP(C462&amp;"|"&amp;D462,Bang_gia!$A$2:$B$10,2,FALSE),"Không tìm thấy mã/khu vực/dịch vụ")</f>
        <v/>
      </c>
      <c r="G462" t="inlineStr">
        <is>
          <t>Mới tạo</t>
        </is>
      </c>
    </row>
    <row r="463">
      <c r="A463" t="inlineStr">
        <is>
          <t>FM000462</t>
        </is>
      </c>
      <c r="B463" t="inlineStr">
        <is>
          <t>2026-10-22</t>
        </is>
      </c>
      <c r="C463" t="inlineStr">
        <is>
          <t>Nội thành</t>
        </is>
      </c>
      <c r="D463" t="inlineStr">
        <is>
          <t>Hỏa tốc</t>
        </is>
      </c>
      <c r="E463" t="n">
        <v>11.4</v>
      </c>
      <c r="F463" s="2">
        <f>IFERROR(VLOOKUP(C463&amp;"|"&amp;D463,Bang_gia!$A$2:$B$10,2,FALSE),"Không tìm thấy mã/khu vực/dịch vụ")</f>
        <v/>
      </c>
      <c r="G463" t="inlineStr">
        <is>
          <t>Đang giao</t>
        </is>
      </c>
    </row>
    <row r="464">
      <c r="A464" t="inlineStr">
        <is>
          <t>FM000463</t>
        </is>
      </c>
      <c r="B464" t="inlineStr">
        <is>
          <t>2026-10-25</t>
        </is>
      </c>
      <c r="C464" t="inlineStr">
        <is>
          <t>Nội thành</t>
        </is>
      </c>
      <c r="D464" t="inlineStr">
        <is>
          <t>Nhanh</t>
        </is>
      </c>
      <c r="E464" t="n">
        <v>7.8</v>
      </c>
      <c r="F464" s="2">
        <f>IFERROR(VLOOKUP(C464&amp;"|"&amp;D464,Bang_gia!$A$2:$B$10,2,FALSE),"Không tìm thấy mã/khu vực/dịch vụ")</f>
        <v/>
      </c>
      <c r="G464" t="inlineStr">
        <is>
          <t>Đang giao</t>
        </is>
      </c>
    </row>
    <row r="465">
      <c r="A465" t="inlineStr">
        <is>
          <t>FM000464</t>
        </is>
      </c>
      <c r="B465" t="inlineStr">
        <is>
          <t>2026-10-03</t>
        </is>
      </c>
      <c r="C465" t="inlineStr">
        <is>
          <t>Ngoại thành</t>
        </is>
      </c>
      <c r="D465" t="inlineStr">
        <is>
          <t>Nhanh</t>
        </is>
      </c>
      <c r="E465" t="n">
        <v>11.6</v>
      </c>
      <c r="F465" s="2">
        <f>IFERROR(VLOOKUP(C465&amp;"|"&amp;D465,Bang_gia!$A$2:$B$10,2,FALSE),"Không tìm thấy mã/khu vực/dịch vụ")</f>
        <v/>
      </c>
      <c r="G465" t="inlineStr">
        <is>
          <t>Mới tạo</t>
        </is>
      </c>
    </row>
    <row r="466">
      <c r="A466" t="inlineStr">
        <is>
          <t>FM000465</t>
        </is>
      </c>
      <c r="B466" t="inlineStr">
        <is>
          <t>2026-10-18</t>
        </is>
      </c>
      <c r="C466" t="inlineStr">
        <is>
          <t>Nội thành</t>
        </is>
      </c>
      <c r="D466" t="inlineStr">
        <is>
          <t>Nhanh</t>
        </is>
      </c>
      <c r="E466" t="n">
        <v>3.8</v>
      </c>
      <c r="F466" s="2">
        <f>IFERROR(VLOOKUP(C466&amp;"|"&amp;D466,Bang_gia!$A$2:$B$10,2,FALSE),"Không tìm thấy mã/khu vực/dịch vụ")</f>
        <v/>
      </c>
      <c r="G466" t="inlineStr">
        <is>
          <t>Đang giao</t>
        </is>
      </c>
    </row>
    <row r="467">
      <c r="A467" t="inlineStr">
        <is>
          <t>FM000466</t>
        </is>
      </c>
      <c r="B467" t="inlineStr">
        <is>
          <t>2026-10-26</t>
        </is>
      </c>
      <c r="C467" t="inlineStr">
        <is>
          <t>Ngoại thành</t>
        </is>
      </c>
      <c r="D467" t="inlineStr">
        <is>
          <t>Hỏa tốc</t>
        </is>
      </c>
      <c r="E467" t="n">
        <v>0.6</v>
      </c>
      <c r="F467" s="2">
        <f>IFERROR(VLOOKUP(C467&amp;"|"&amp;D467,Bang_gia!$A$2:$B$10,2,FALSE),"Không tìm thấy mã/khu vực/dịch vụ")</f>
        <v/>
      </c>
      <c r="G467" t="inlineStr">
        <is>
          <t>Đang giao</t>
        </is>
      </c>
    </row>
    <row r="468">
      <c r="A468" t="inlineStr">
        <is>
          <t>FM000467</t>
        </is>
      </c>
      <c r="B468" t="inlineStr">
        <is>
          <t>2026-10-17</t>
        </is>
      </c>
      <c r="C468" t="inlineStr">
        <is>
          <t>Liên tỉnh</t>
        </is>
      </c>
      <c r="D468" t="inlineStr">
        <is>
          <t>Tiêu chuẩn</t>
        </is>
      </c>
      <c r="E468" t="n">
        <v>10.8</v>
      </c>
      <c r="F468" s="2">
        <f>IFERROR(VLOOKUP(C468&amp;"|"&amp;D468,Bang_gia!$A$2:$B$10,2,FALSE),"Không tìm thấy mã/khu vực/dịch vụ")</f>
        <v/>
      </c>
      <c r="G468" t="inlineStr">
        <is>
          <t>Chờ xử lý</t>
        </is>
      </c>
    </row>
    <row r="469">
      <c r="A469" t="inlineStr">
        <is>
          <t>FM000468</t>
        </is>
      </c>
      <c r="B469" t="inlineStr">
        <is>
          <t>2026-10-10</t>
        </is>
      </c>
      <c r="C469" t="inlineStr">
        <is>
          <t>Nội thành</t>
        </is>
      </c>
      <c r="D469" t="inlineStr">
        <is>
          <t>Nhanh</t>
        </is>
      </c>
      <c r="E469" t="n">
        <v>9.699999999999999</v>
      </c>
      <c r="F469" s="2">
        <f>IFERROR(VLOOKUP(C469&amp;"|"&amp;D469,Bang_gia!$A$2:$B$10,2,FALSE),"Không tìm thấy mã/khu vực/dịch vụ")</f>
        <v/>
      </c>
      <c r="G469" t="inlineStr">
        <is>
          <t>Đã giao</t>
        </is>
      </c>
    </row>
    <row r="470">
      <c r="A470" t="inlineStr">
        <is>
          <t>FM000469</t>
        </is>
      </c>
      <c r="B470" t="inlineStr">
        <is>
          <t>2026-10-05</t>
        </is>
      </c>
      <c r="C470" t="inlineStr">
        <is>
          <t>Nội thành</t>
        </is>
      </c>
      <c r="D470" t="inlineStr">
        <is>
          <t>Hỏa tốc</t>
        </is>
      </c>
      <c r="E470" t="n">
        <v>7.3</v>
      </c>
      <c r="F470" s="2">
        <f>IFERROR(VLOOKUP(C470&amp;"|"&amp;D470,Bang_gia!$A$2:$B$10,2,FALSE),"Không tìm thấy mã/khu vực/dịch vụ")</f>
        <v/>
      </c>
      <c r="G470" t="inlineStr">
        <is>
          <t>Đang giao</t>
        </is>
      </c>
    </row>
    <row r="471">
      <c r="A471" t="inlineStr">
        <is>
          <t>FM000470</t>
        </is>
      </c>
      <c r="B471" t="inlineStr">
        <is>
          <t>2026-10-01</t>
        </is>
      </c>
      <c r="C471" t="inlineStr">
        <is>
          <t>Ngoại thành</t>
        </is>
      </c>
      <c r="D471" t="inlineStr">
        <is>
          <t>Nhanh</t>
        </is>
      </c>
      <c r="E471" t="n">
        <v>14.8</v>
      </c>
      <c r="F471" s="2">
        <f>IFERROR(VLOOKUP(C471&amp;"|"&amp;D471,Bang_gia!$A$2:$B$10,2,FALSE),"Không tìm thấy mã/khu vực/dịch vụ")</f>
        <v/>
      </c>
      <c r="G471" t="inlineStr">
        <is>
          <t>Chờ xử lý</t>
        </is>
      </c>
    </row>
    <row r="472">
      <c r="A472" t="inlineStr">
        <is>
          <t>FM000471</t>
        </is>
      </c>
      <c r="B472" t="inlineStr">
        <is>
          <t>2026-10-25</t>
        </is>
      </c>
      <c r="C472" t="inlineStr">
        <is>
          <t>Nội thành</t>
        </is>
      </c>
      <c r="D472" t="inlineStr">
        <is>
          <t>Hỏa tốc</t>
        </is>
      </c>
      <c r="E472" t="n">
        <v>7</v>
      </c>
      <c r="F472" s="2">
        <f>IFERROR(VLOOKUP(C472&amp;"|"&amp;D472,Bang_gia!$A$2:$B$10,2,FALSE),"Không tìm thấy mã/khu vực/dịch vụ")</f>
        <v/>
      </c>
      <c r="G472" t="inlineStr">
        <is>
          <t>Chờ xử lý</t>
        </is>
      </c>
    </row>
    <row r="473">
      <c r="A473" t="inlineStr">
        <is>
          <t>FM000472</t>
        </is>
      </c>
      <c r="B473" t="inlineStr">
        <is>
          <t>2026-10-05</t>
        </is>
      </c>
      <c r="C473" t="inlineStr">
        <is>
          <t>Ngoại thành</t>
        </is>
      </c>
      <c r="D473" t="inlineStr">
        <is>
          <t>Tiêu chuẩn</t>
        </is>
      </c>
      <c r="E473" t="n">
        <v>13.5</v>
      </c>
      <c r="F473" s="2">
        <f>IFERROR(VLOOKUP(C473&amp;"|"&amp;D473,Bang_gia!$A$2:$B$10,2,FALSE),"Không tìm thấy mã/khu vực/dịch vụ")</f>
        <v/>
      </c>
      <c r="G473" t="inlineStr">
        <is>
          <t>Chờ xử lý</t>
        </is>
      </c>
    </row>
    <row r="474">
      <c r="A474" t="inlineStr">
        <is>
          <t>FM000473</t>
        </is>
      </c>
      <c r="B474" t="inlineStr">
        <is>
          <t>2026-10-18</t>
        </is>
      </c>
      <c r="C474" t="inlineStr">
        <is>
          <t>Liên tỉnh</t>
        </is>
      </c>
      <c r="D474" t="inlineStr">
        <is>
          <t>Hỏa tốc</t>
        </is>
      </c>
      <c r="E474" t="n">
        <v>3.8</v>
      </c>
      <c r="F474" s="2">
        <f>IFERROR(VLOOKUP(C474&amp;"|"&amp;D474,Bang_gia!$A$2:$B$10,2,FALSE),"Không tìm thấy mã/khu vực/dịch vụ")</f>
        <v/>
      </c>
      <c r="G474" t="inlineStr">
        <is>
          <t>Đã giao</t>
        </is>
      </c>
    </row>
    <row r="475">
      <c r="A475" t="inlineStr">
        <is>
          <t>FM000474</t>
        </is>
      </c>
      <c r="B475" t="inlineStr">
        <is>
          <t>2026-10-01</t>
        </is>
      </c>
      <c r="C475" t="inlineStr">
        <is>
          <t>Liên tỉnh</t>
        </is>
      </c>
      <c r="D475" t="inlineStr">
        <is>
          <t>Hỏa tốc</t>
        </is>
      </c>
      <c r="E475" t="n">
        <v>0.9</v>
      </c>
      <c r="F475" s="2">
        <f>IFERROR(VLOOKUP(C475&amp;"|"&amp;D475,Bang_gia!$A$2:$B$10,2,FALSE),"Không tìm thấy mã/khu vực/dịch vụ")</f>
        <v/>
      </c>
      <c r="G475" t="inlineStr">
        <is>
          <t>Mới tạo</t>
        </is>
      </c>
    </row>
    <row r="476">
      <c r="A476" t="inlineStr">
        <is>
          <t>FM000475</t>
        </is>
      </c>
      <c r="B476" t="inlineStr">
        <is>
          <t>2026-10-26</t>
        </is>
      </c>
      <c r="C476" t="inlineStr">
        <is>
          <t>Liên tỉnh</t>
        </is>
      </c>
      <c r="D476" t="inlineStr">
        <is>
          <t>Nhanh</t>
        </is>
      </c>
      <c r="E476" t="n">
        <v>11.3</v>
      </c>
      <c r="F476" s="2">
        <f>IFERROR(VLOOKUP(C476&amp;"|"&amp;D476,Bang_gia!$A$2:$B$10,2,FALSE),"Không tìm thấy mã/khu vực/dịch vụ")</f>
        <v/>
      </c>
      <c r="G476" t="inlineStr">
        <is>
          <t>Đang giao</t>
        </is>
      </c>
    </row>
    <row r="477">
      <c r="A477" t="inlineStr">
        <is>
          <t>FM000476</t>
        </is>
      </c>
      <c r="B477" t="inlineStr">
        <is>
          <t>2026-10-21</t>
        </is>
      </c>
      <c r="C477" t="inlineStr">
        <is>
          <t>Liên tỉnh</t>
        </is>
      </c>
      <c r="D477" t="inlineStr">
        <is>
          <t>Tiêu chuẩn</t>
        </is>
      </c>
      <c r="E477" t="n">
        <v>19.1</v>
      </c>
      <c r="F477" s="2">
        <f>IFERROR(VLOOKUP(C477&amp;"|"&amp;D477,Bang_gia!$A$2:$B$10,2,FALSE),"Không tìm thấy mã/khu vực/dịch vụ")</f>
        <v/>
      </c>
      <c r="G477" t="inlineStr">
        <is>
          <t>Mới tạo</t>
        </is>
      </c>
    </row>
    <row r="478">
      <c r="A478" t="inlineStr">
        <is>
          <t>FM000477</t>
        </is>
      </c>
      <c r="B478" t="inlineStr">
        <is>
          <t>2026-10-09</t>
        </is>
      </c>
      <c r="C478" t="inlineStr">
        <is>
          <t>Ngoại thành</t>
        </is>
      </c>
      <c r="D478" t="inlineStr">
        <is>
          <t>Nhanh</t>
        </is>
      </c>
      <c r="E478" t="n">
        <v>12.8</v>
      </c>
      <c r="F478" s="2">
        <f>IFERROR(VLOOKUP(C478&amp;"|"&amp;D478,Bang_gia!$A$2:$B$10,2,FALSE),"Không tìm thấy mã/khu vực/dịch vụ")</f>
        <v/>
      </c>
      <c r="G478" t="inlineStr">
        <is>
          <t>Đã giao</t>
        </is>
      </c>
    </row>
    <row r="479">
      <c r="A479" t="inlineStr">
        <is>
          <t>FM000478</t>
        </is>
      </c>
      <c r="B479" t="inlineStr">
        <is>
          <t>2026-10-26</t>
        </is>
      </c>
      <c r="C479" t="inlineStr">
        <is>
          <t>Ngoại thành</t>
        </is>
      </c>
      <c r="D479" t="inlineStr">
        <is>
          <t>Nhanh</t>
        </is>
      </c>
      <c r="E479" t="n">
        <v>19.1</v>
      </c>
      <c r="F479" s="2">
        <f>IFERROR(VLOOKUP(C479&amp;"|"&amp;D479,Bang_gia!$A$2:$B$10,2,FALSE),"Không tìm thấy mã/khu vực/dịch vụ")</f>
        <v/>
      </c>
      <c r="G479" t="inlineStr">
        <is>
          <t>Đang giao</t>
        </is>
      </c>
    </row>
    <row r="480">
      <c r="A480" t="inlineStr">
        <is>
          <t>FM000479</t>
        </is>
      </c>
      <c r="B480" t="inlineStr">
        <is>
          <t>2026-10-20</t>
        </is>
      </c>
      <c r="C480" t="inlineStr">
        <is>
          <t>Ngoại thành</t>
        </is>
      </c>
      <c r="D480" t="inlineStr">
        <is>
          <t>Hỏa tốc</t>
        </is>
      </c>
      <c r="E480" t="n">
        <v>14.1</v>
      </c>
      <c r="F480" s="2">
        <f>IFERROR(VLOOKUP(C480&amp;"|"&amp;D480,Bang_gia!$A$2:$B$10,2,FALSE),"Không tìm thấy mã/khu vực/dịch vụ")</f>
        <v/>
      </c>
      <c r="G480" t="inlineStr">
        <is>
          <t>Đã giao</t>
        </is>
      </c>
    </row>
    <row r="481">
      <c r="A481" t="inlineStr">
        <is>
          <t>FM000480</t>
        </is>
      </c>
      <c r="B481" t="inlineStr">
        <is>
          <t>2026-10-07</t>
        </is>
      </c>
      <c r="C481" t="inlineStr">
        <is>
          <t>Ngoại thành</t>
        </is>
      </c>
      <c r="D481" t="inlineStr">
        <is>
          <t>Tiêu chuẩn</t>
        </is>
      </c>
      <c r="E481" t="n">
        <v>10.6</v>
      </c>
      <c r="F481" s="2">
        <f>IFERROR(VLOOKUP(C481&amp;"|"&amp;D481,Bang_gia!$A$2:$B$10,2,FALSE),"Không tìm thấy mã/khu vực/dịch vụ")</f>
        <v/>
      </c>
      <c r="G481" t="inlineStr">
        <is>
          <t>Đã giao</t>
        </is>
      </c>
    </row>
    <row r="482">
      <c r="A482" t="inlineStr">
        <is>
          <t>FM000481</t>
        </is>
      </c>
      <c r="B482" t="inlineStr">
        <is>
          <t>2026-10-05</t>
        </is>
      </c>
      <c r="C482" t="inlineStr">
        <is>
          <t>Nội thành</t>
        </is>
      </c>
      <c r="D482" t="inlineStr">
        <is>
          <t>Hỏa tốc</t>
        </is>
      </c>
      <c r="E482" t="n">
        <v>0.5</v>
      </c>
      <c r="F482" s="2">
        <f>IFERROR(VLOOKUP(C482&amp;"|"&amp;D482,Bang_gia!$A$2:$B$10,2,FALSE),"Không tìm thấy mã/khu vực/dịch vụ")</f>
        <v/>
      </c>
      <c r="G482" t="inlineStr">
        <is>
          <t>Đang giao</t>
        </is>
      </c>
    </row>
    <row r="483">
      <c r="A483" t="inlineStr">
        <is>
          <t>FM000482</t>
        </is>
      </c>
      <c r="B483" t="inlineStr">
        <is>
          <t>2026-10-10</t>
        </is>
      </c>
      <c r="C483" t="inlineStr">
        <is>
          <t>Liên tỉnh</t>
        </is>
      </c>
      <c r="D483" t="inlineStr">
        <is>
          <t>Nhanh</t>
        </is>
      </c>
      <c r="E483" t="n">
        <v>1.4</v>
      </c>
      <c r="F483" s="2">
        <f>IFERROR(VLOOKUP(C483&amp;"|"&amp;D483,Bang_gia!$A$2:$B$10,2,FALSE),"Không tìm thấy mã/khu vực/dịch vụ")</f>
        <v/>
      </c>
      <c r="G483" t="inlineStr">
        <is>
          <t>Chờ xử lý</t>
        </is>
      </c>
    </row>
    <row r="484">
      <c r="A484" t="inlineStr">
        <is>
          <t>FM000483</t>
        </is>
      </c>
      <c r="B484" t="inlineStr">
        <is>
          <t>2026-10-14</t>
        </is>
      </c>
      <c r="C484" t="inlineStr">
        <is>
          <t>Nội thành</t>
        </is>
      </c>
      <c r="D484" t="inlineStr">
        <is>
          <t>Nhanh</t>
        </is>
      </c>
      <c r="E484" t="n">
        <v>10.1</v>
      </c>
      <c r="F484" s="2">
        <f>IFERROR(VLOOKUP(C484&amp;"|"&amp;D484,Bang_gia!$A$2:$B$10,2,FALSE),"Không tìm thấy mã/khu vực/dịch vụ")</f>
        <v/>
      </c>
      <c r="G484" t="inlineStr">
        <is>
          <t>Mới tạo</t>
        </is>
      </c>
    </row>
    <row r="485">
      <c r="A485" t="inlineStr">
        <is>
          <t>FM000484</t>
        </is>
      </c>
      <c r="B485" t="inlineStr">
        <is>
          <t>2026-10-22</t>
        </is>
      </c>
      <c r="C485" t="inlineStr">
        <is>
          <t>Nội thành</t>
        </is>
      </c>
      <c r="D485" t="inlineStr">
        <is>
          <t>Hỏa tốc</t>
        </is>
      </c>
      <c r="E485" t="n">
        <v>17.7</v>
      </c>
      <c r="F485" s="2">
        <f>IFERROR(VLOOKUP(C485&amp;"|"&amp;D485,Bang_gia!$A$2:$B$10,2,FALSE),"Không tìm thấy mã/khu vực/dịch vụ")</f>
        <v/>
      </c>
      <c r="G485" t="inlineStr">
        <is>
          <t>Chờ xử lý</t>
        </is>
      </c>
    </row>
    <row r="486">
      <c r="A486" t="inlineStr">
        <is>
          <t>FM000485</t>
        </is>
      </c>
      <c r="B486" t="inlineStr">
        <is>
          <t>2026-10-06</t>
        </is>
      </c>
      <c r="C486" t="inlineStr">
        <is>
          <t>Liên tỉnh</t>
        </is>
      </c>
      <c r="D486" t="inlineStr">
        <is>
          <t>Hỏa tốc</t>
        </is>
      </c>
      <c r="E486" t="n">
        <v>16.7</v>
      </c>
      <c r="F486" s="2">
        <f>IFERROR(VLOOKUP(C486&amp;"|"&amp;D486,Bang_gia!$A$2:$B$10,2,FALSE),"Không tìm thấy mã/khu vực/dịch vụ")</f>
        <v/>
      </c>
      <c r="G486" t="inlineStr">
        <is>
          <t>Đã giao</t>
        </is>
      </c>
    </row>
    <row r="487">
      <c r="A487" t="inlineStr">
        <is>
          <t>FM000486</t>
        </is>
      </c>
      <c r="B487" t="inlineStr">
        <is>
          <t>2026-10-20</t>
        </is>
      </c>
      <c r="C487" t="inlineStr">
        <is>
          <t>Ngoại thành</t>
        </is>
      </c>
      <c r="D487" t="inlineStr">
        <is>
          <t>Hỏa tốc</t>
        </is>
      </c>
      <c r="E487" t="n">
        <v>18.3</v>
      </c>
      <c r="F487" s="2">
        <f>IFERROR(VLOOKUP(C487&amp;"|"&amp;D487,Bang_gia!$A$2:$B$10,2,FALSE),"Không tìm thấy mã/khu vực/dịch vụ")</f>
        <v/>
      </c>
      <c r="G487" t="inlineStr">
        <is>
          <t>Đang giao</t>
        </is>
      </c>
    </row>
    <row r="488">
      <c r="A488" t="inlineStr">
        <is>
          <t>FM000487</t>
        </is>
      </c>
      <c r="B488" t="inlineStr">
        <is>
          <t>2026-10-26</t>
        </is>
      </c>
      <c r="C488" t="inlineStr">
        <is>
          <t>Ngoại thành</t>
        </is>
      </c>
      <c r="D488" t="inlineStr">
        <is>
          <t>Tiêu chuẩn</t>
        </is>
      </c>
      <c r="E488" t="n">
        <v>4.9</v>
      </c>
      <c r="F488" s="2">
        <f>IFERROR(VLOOKUP(C488&amp;"|"&amp;D488,Bang_gia!$A$2:$B$10,2,FALSE),"Không tìm thấy mã/khu vực/dịch vụ")</f>
        <v/>
      </c>
      <c r="G488" t="inlineStr">
        <is>
          <t>Đã giao</t>
        </is>
      </c>
    </row>
    <row r="489">
      <c r="A489" t="inlineStr">
        <is>
          <t>FM000488</t>
        </is>
      </c>
      <c r="B489" t="inlineStr">
        <is>
          <t>2026-10-01</t>
        </is>
      </c>
      <c r="C489" t="inlineStr">
        <is>
          <t>Liên tỉnh</t>
        </is>
      </c>
      <c r="D489" t="inlineStr">
        <is>
          <t>Hỏa tốc</t>
        </is>
      </c>
      <c r="E489" t="n">
        <v>9.699999999999999</v>
      </c>
      <c r="F489" s="2">
        <f>IFERROR(VLOOKUP(C489&amp;"|"&amp;D489,Bang_gia!$A$2:$B$10,2,FALSE),"Không tìm thấy mã/khu vực/dịch vụ")</f>
        <v/>
      </c>
      <c r="G489" t="inlineStr">
        <is>
          <t>Mới tạo</t>
        </is>
      </c>
    </row>
    <row r="490">
      <c r="A490" t="inlineStr">
        <is>
          <t>FM000489</t>
        </is>
      </c>
      <c r="B490" t="inlineStr">
        <is>
          <t>2026-10-14</t>
        </is>
      </c>
      <c r="C490" t="inlineStr">
        <is>
          <t>Liên tỉnh</t>
        </is>
      </c>
      <c r="D490" t="inlineStr">
        <is>
          <t>Tiêu chuẩn</t>
        </is>
      </c>
      <c r="E490" t="n">
        <v>13</v>
      </c>
      <c r="F490" s="2">
        <f>IFERROR(VLOOKUP(C490&amp;"|"&amp;D490,Bang_gia!$A$2:$B$10,2,FALSE),"Không tìm thấy mã/khu vực/dịch vụ")</f>
        <v/>
      </c>
      <c r="G490" t="inlineStr">
        <is>
          <t>Mới tạo</t>
        </is>
      </c>
    </row>
    <row r="491">
      <c r="A491" t="inlineStr">
        <is>
          <t>FM000490</t>
        </is>
      </c>
      <c r="B491" t="inlineStr">
        <is>
          <t>2026-10-09</t>
        </is>
      </c>
      <c r="C491" t="inlineStr">
        <is>
          <t>Nội thành</t>
        </is>
      </c>
      <c r="D491" t="inlineStr">
        <is>
          <t>Nhanh</t>
        </is>
      </c>
      <c r="E491" t="n">
        <v>4.5</v>
      </c>
      <c r="F491" s="2">
        <f>IFERROR(VLOOKUP(C491&amp;"|"&amp;D491,Bang_gia!$A$2:$B$10,2,FALSE),"Không tìm thấy mã/khu vực/dịch vụ")</f>
        <v/>
      </c>
      <c r="G491" t="inlineStr">
        <is>
          <t>Chờ xử lý</t>
        </is>
      </c>
    </row>
    <row r="492">
      <c r="A492" t="inlineStr">
        <is>
          <t>FM000491</t>
        </is>
      </c>
      <c r="B492" t="inlineStr">
        <is>
          <t>2026-10-02</t>
        </is>
      </c>
      <c r="C492" t="inlineStr">
        <is>
          <t>Nội thành</t>
        </is>
      </c>
      <c r="D492" t="inlineStr">
        <is>
          <t>Nhanh</t>
        </is>
      </c>
      <c r="E492" t="n">
        <v>2.8</v>
      </c>
      <c r="F492" s="2">
        <f>IFERROR(VLOOKUP(C492&amp;"|"&amp;D492,Bang_gia!$A$2:$B$10,2,FALSE),"Không tìm thấy mã/khu vực/dịch vụ")</f>
        <v/>
      </c>
      <c r="G492" t="inlineStr">
        <is>
          <t>Mới tạo</t>
        </is>
      </c>
    </row>
    <row r="493">
      <c r="A493" t="inlineStr">
        <is>
          <t>FM000492</t>
        </is>
      </c>
      <c r="B493" t="inlineStr">
        <is>
          <t>2026-10-21</t>
        </is>
      </c>
      <c r="C493" t="inlineStr">
        <is>
          <t>Nội thành</t>
        </is>
      </c>
      <c r="D493" t="inlineStr">
        <is>
          <t>Nhanh</t>
        </is>
      </c>
      <c r="E493" t="n">
        <v>15.4</v>
      </c>
      <c r="F493" s="2">
        <f>IFERROR(VLOOKUP(C493&amp;"|"&amp;D493,Bang_gia!$A$2:$B$10,2,FALSE),"Không tìm thấy mã/khu vực/dịch vụ")</f>
        <v/>
      </c>
      <c r="G493" t="inlineStr">
        <is>
          <t>Chờ xử lý</t>
        </is>
      </c>
    </row>
    <row r="494">
      <c r="A494" t="inlineStr">
        <is>
          <t>FM000493</t>
        </is>
      </c>
      <c r="B494" t="inlineStr">
        <is>
          <t>2026-10-18</t>
        </is>
      </c>
      <c r="C494" t="inlineStr">
        <is>
          <t>Nội thành</t>
        </is>
      </c>
      <c r="D494" t="inlineStr">
        <is>
          <t>Nhanh</t>
        </is>
      </c>
      <c r="E494" t="n">
        <v>6.2</v>
      </c>
      <c r="F494" s="2">
        <f>IFERROR(VLOOKUP(C494&amp;"|"&amp;D494,Bang_gia!$A$2:$B$10,2,FALSE),"Không tìm thấy mã/khu vực/dịch vụ")</f>
        <v/>
      </c>
      <c r="G494" t="inlineStr">
        <is>
          <t>Mới tạo</t>
        </is>
      </c>
    </row>
    <row r="495">
      <c r="A495" t="inlineStr">
        <is>
          <t>FM000494</t>
        </is>
      </c>
      <c r="B495" t="inlineStr">
        <is>
          <t>2026-10-15</t>
        </is>
      </c>
      <c r="C495" t="inlineStr">
        <is>
          <t>Liên tỉnh</t>
        </is>
      </c>
      <c r="D495" t="inlineStr">
        <is>
          <t>Nhanh</t>
        </is>
      </c>
      <c r="E495" t="n">
        <v>18.7</v>
      </c>
      <c r="F495" s="2">
        <f>IFERROR(VLOOKUP(C495&amp;"|"&amp;D495,Bang_gia!$A$2:$B$10,2,FALSE),"Không tìm thấy mã/khu vực/dịch vụ")</f>
        <v/>
      </c>
      <c r="G495" t="inlineStr">
        <is>
          <t>Mới tạo</t>
        </is>
      </c>
    </row>
    <row r="496">
      <c r="A496" t="inlineStr">
        <is>
          <t>FM000495</t>
        </is>
      </c>
      <c r="B496" t="inlineStr">
        <is>
          <t>2026-10-01</t>
        </is>
      </c>
      <c r="C496" t="inlineStr">
        <is>
          <t>Ngoại thành</t>
        </is>
      </c>
      <c r="D496" t="inlineStr">
        <is>
          <t>Nhanh</t>
        </is>
      </c>
      <c r="E496" t="n">
        <v>9.699999999999999</v>
      </c>
      <c r="F496" s="2">
        <f>IFERROR(VLOOKUP(C496&amp;"|"&amp;D496,Bang_gia!$A$2:$B$10,2,FALSE),"Không tìm thấy mã/khu vực/dịch vụ")</f>
        <v/>
      </c>
      <c r="G496" t="inlineStr">
        <is>
          <t>Chờ xử lý</t>
        </is>
      </c>
    </row>
    <row r="497">
      <c r="A497" t="inlineStr">
        <is>
          <t>FM000496</t>
        </is>
      </c>
      <c r="B497" t="inlineStr">
        <is>
          <t>2026-10-26</t>
        </is>
      </c>
      <c r="C497" t="inlineStr">
        <is>
          <t>Nội thành</t>
        </is>
      </c>
      <c r="D497" t="inlineStr">
        <is>
          <t>Nhanh</t>
        </is>
      </c>
      <c r="E497" t="n">
        <v>15.2</v>
      </c>
      <c r="F497" s="2">
        <f>IFERROR(VLOOKUP(C497&amp;"|"&amp;D497,Bang_gia!$A$2:$B$10,2,FALSE),"Không tìm thấy mã/khu vực/dịch vụ")</f>
        <v/>
      </c>
      <c r="G497" t="inlineStr">
        <is>
          <t>Đang giao</t>
        </is>
      </c>
    </row>
    <row r="498">
      <c r="A498" t="inlineStr">
        <is>
          <t>FM000497</t>
        </is>
      </c>
      <c r="B498" t="inlineStr">
        <is>
          <t>2026-10-25</t>
        </is>
      </c>
      <c r="C498" t="inlineStr">
        <is>
          <t>Liên tỉnh</t>
        </is>
      </c>
      <c r="D498" t="inlineStr">
        <is>
          <t>Tiêu chuẩn</t>
        </is>
      </c>
      <c r="E498" t="n">
        <v>19.9</v>
      </c>
      <c r="F498" s="2">
        <f>IFERROR(VLOOKUP(C498&amp;"|"&amp;D498,Bang_gia!$A$2:$B$10,2,FALSE),"Không tìm thấy mã/khu vực/dịch vụ")</f>
        <v/>
      </c>
      <c r="G498" t="inlineStr">
        <is>
          <t>Đã giao</t>
        </is>
      </c>
    </row>
    <row r="499">
      <c r="A499" t="inlineStr">
        <is>
          <t>FM000498</t>
        </is>
      </c>
      <c r="B499" t="inlineStr">
        <is>
          <t>2026-10-03</t>
        </is>
      </c>
      <c r="C499" t="inlineStr">
        <is>
          <t>Nội thành</t>
        </is>
      </c>
      <c r="D499" t="inlineStr">
        <is>
          <t>Hỏa tốc</t>
        </is>
      </c>
      <c r="E499" t="n">
        <v>6.9</v>
      </c>
      <c r="F499" s="2">
        <f>IFERROR(VLOOKUP(C499&amp;"|"&amp;D499,Bang_gia!$A$2:$B$10,2,FALSE),"Không tìm thấy mã/khu vực/dịch vụ")</f>
        <v/>
      </c>
      <c r="G499" t="inlineStr">
        <is>
          <t>Mới tạo</t>
        </is>
      </c>
    </row>
    <row r="500">
      <c r="A500" t="inlineStr">
        <is>
          <t>FM000499</t>
        </is>
      </c>
      <c r="B500" t="inlineStr">
        <is>
          <t>2026-10-09</t>
        </is>
      </c>
      <c r="C500" t="inlineStr">
        <is>
          <t>Liên tỉnh</t>
        </is>
      </c>
      <c r="D500" t="inlineStr">
        <is>
          <t>Nhanh</t>
        </is>
      </c>
      <c r="E500" t="n">
        <v>2.2</v>
      </c>
      <c r="F500" s="2">
        <f>IFERROR(VLOOKUP(C500&amp;"|"&amp;D500,Bang_gia!$A$2:$B$10,2,FALSE),"Không tìm thấy mã/khu vực/dịch vụ")</f>
        <v/>
      </c>
      <c r="G500" t="inlineStr">
        <is>
          <t>Mới tạo</t>
        </is>
      </c>
    </row>
    <row r="501">
      <c r="A501" t="inlineStr">
        <is>
          <t>FM000500</t>
        </is>
      </c>
      <c r="B501" t="inlineStr">
        <is>
          <t>2026-10-06</t>
        </is>
      </c>
      <c r="C501" t="inlineStr">
        <is>
          <t>Liên tỉnh</t>
        </is>
      </c>
      <c r="D501" t="inlineStr">
        <is>
          <t>Nhanh</t>
        </is>
      </c>
      <c r="E501" t="n">
        <v>5.9</v>
      </c>
      <c r="F501" s="2">
        <f>IFERROR(VLOOKUP(C501&amp;"|"&amp;D501,Bang_gia!$A$2:$B$10,2,FALSE),"Không tìm thấy mã/khu vực/dịch vụ")</f>
        <v/>
      </c>
      <c r="G501" t="inlineStr">
        <is>
          <t>Mới tạo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8" customWidth="1" min="3" max="3"/>
    <col width="18" customWidth="1" min="4" max="4"/>
  </cols>
  <sheetData>
    <row r="1" ht="32" customHeight="1">
      <c r="A1" s="1" t="inlineStr">
        <is>
          <t>Khóa tra cứu (Khu vực|Dịch vụ)</t>
        </is>
      </c>
      <c r="B1" s="1" t="inlineStr">
        <is>
          <t>Giá cước (VNĐ)</t>
        </is>
      </c>
      <c r="C1" s="1" t="inlineStr">
        <is>
          <t>Khu vực</t>
        </is>
      </c>
      <c r="D1" s="1" t="inlineStr">
        <is>
          <t>Dịch vụ</t>
        </is>
      </c>
    </row>
    <row r="2">
      <c r="A2" t="inlineStr">
        <is>
          <t>Nội thành|Tiêu chuẩn</t>
        </is>
      </c>
      <c r="B2" s="2" t="n">
        <v>18000</v>
      </c>
      <c r="C2" t="inlineStr">
        <is>
          <t>Nội thành</t>
        </is>
      </c>
      <c r="D2" t="inlineStr">
        <is>
          <t>Tiêu chuẩn</t>
        </is>
      </c>
    </row>
    <row r="3">
      <c r="A3" t="inlineStr">
        <is>
          <t>Nội thành|Nhanh</t>
        </is>
      </c>
      <c r="B3" s="2" t="n">
        <v>28000</v>
      </c>
      <c r="C3" t="inlineStr">
        <is>
          <t>Nội thành</t>
        </is>
      </c>
      <c r="D3" t="inlineStr">
        <is>
          <t>Nhanh</t>
        </is>
      </c>
    </row>
    <row r="4">
      <c r="A4" t="inlineStr">
        <is>
          <t>Nội thành|Hỏa tốc</t>
        </is>
      </c>
      <c r="B4" s="2" t="n">
        <v>42000</v>
      </c>
      <c r="C4" t="inlineStr">
        <is>
          <t>Nội thành</t>
        </is>
      </c>
      <c r="D4" t="inlineStr">
        <is>
          <t>Hỏa tốc</t>
        </is>
      </c>
    </row>
    <row r="5">
      <c r="A5" t="inlineStr">
        <is>
          <t>Ngoại thành|Tiêu chuẩn</t>
        </is>
      </c>
      <c r="B5" s="2" t="n">
        <v>26000</v>
      </c>
      <c r="C5" t="inlineStr">
        <is>
          <t>Ngoại thành</t>
        </is>
      </c>
      <c r="D5" t="inlineStr">
        <is>
          <t>Tiêu chuẩn</t>
        </is>
      </c>
    </row>
    <row r="6">
      <c r="A6" t="inlineStr">
        <is>
          <t>Ngoại thành|Nhanh</t>
        </is>
      </c>
      <c r="B6" s="2" t="n">
        <v>38000</v>
      </c>
      <c r="C6" t="inlineStr">
        <is>
          <t>Ngoại thành</t>
        </is>
      </c>
      <c r="D6" t="inlineStr">
        <is>
          <t>Nhanh</t>
        </is>
      </c>
    </row>
    <row r="7">
      <c r="A7" t="inlineStr">
        <is>
          <t>Ngoại thành|Hỏa tốc</t>
        </is>
      </c>
      <c r="B7" s="2" t="n">
        <v>55000</v>
      </c>
      <c r="C7" t="inlineStr">
        <is>
          <t>Ngoại thành</t>
        </is>
      </c>
      <c r="D7" t="inlineStr">
        <is>
          <t>Hỏa tốc</t>
        </is>
      </c>
    </row>
    <row r="8">
      <c r="A8" t="inlineStr">
        <is>
          <t>Liên tỉnh|Tiêu chuẩn</t>
        </is>
      </c>
      <c r="B8" s="2" t="n">
        <v>35000</v>
      </c>
      <c r="C8" t="inlineStr">
        <is>
          <t>Liên tỉnh</t>
        </is>
      </c>
      <c r="D8" t="inlineStr">
        <is>
          <t>Tiêu chuẩn</t>
        </is>
      </c>
    </row>
    <row r="9">
      <c r="A9" t="inlineStr">
        <is>
          <t>Liên tỉnh|Nhanh</t>
        </is>
      </c>
      <c r="B9" s="2" t="n">
        <v>52000</v>
      </c>
      <c r="C9" t="inlineStr">
        <is>
          <t>Liên tỉnh</t>
        </is>
      </c>
      <c r="D9" t="inlineStr">
        <is>
          <t>Nhanh</t>
        </is>
      </c>
    </row>
    <row r="10">
      <c r="A10" t="inlineStr">
        <is>
          <t>Liên tỉnh|Hỏa tốc</t>
        </is>
      </c>
      <c r="B10" s="2" t="n">
        <v>75000</v>
      </c>
      <c r="C10" t="inlineStr">
        <is>
          <t>Liên tỉnh</t>
        </is>
      </c>
      <c r="D10" t="inlineStr">
        <is>
          <t>Hỏa tốc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42" customWidth="1" min="3" max="3"/>
  </cols>
  <sheetData>
    <row r="1">
      <c r="A1" s="3" t="inlineStr">
        <is>
          <t>KPI vận hành FastMove</t>
        </is>
      </c>
      <c r="B1" s="3" t="inlineStr">
        <is>
          <t>Kết quả</t>
        </is>
      </c>
      <c r="C1" s="3" t="inlineStr">
        <is>
          <t>Ý nghĩa</t>
        </is>
      </c>
    </row>
    <row r="2">
      <c r="A2" s="4" t="inlineStr">
        <is>
          <t>Tổng số đơn</t>
        </is>
      </c>
      <c r="B2">
        <f>COUNTA(Don_hang!A2:A501)</f>
        <v/>
      </c>
      <c r="C2" t="inlineStr">
        <is>
          <t>Quy mô dữ liệu đang theo dõi</t>
        </is>
      </c>
    </row>
    <row r="3">
      <c r="A3" s="4" t="inlineStr">
        <is>
          <t>Đã giao</t>
        </is>
      </c>
      <c r="B3">
        <f>COUNTIF(Don_hang!G2:G501,"Đã giao")</f>
        <v/>
      </c>
      <c r="C3" t="inlineStr">
        <is>
          <t>Số đơn có trạng thái đã giao</t>
        </is>
      </c>
    </row>
    <row r="4">
      <c r="A4" s="4" t="inlineStr">
        <is>
          <t>Đang giao</t>
        </is>
      </c>
      <c r="B4">
        <f>COUNTIF(Don_hang!G2:G501,"Đang giao")</f>
        <v/>
      </c>
      <c r="C4" t="inlineStr">
        <is>
          <t>Đơn đang trên tuyến</t>
        </is>
      </c>
    </row>
    <row r="5">
      <c r="A5" s="4" t="inlineStr">
        <is>
          <t>Chờ xử lý</t>
        </is>
      </c>
      <c r="B5">
        <f>COUNTIF(Don_hang!G2:G501,"Chờ xử lý")</f>
        <v/>
      </c>
      <c r="C5" t="inlineStr">
        <is>
          <t>Đơn cần điều phối kiểm tra</t>
        </is>
      </c>
    </row>
    <row r="6">
      <c r="A6" s="4" t="inlineStr">
        <is>
          <t>Tỷ lệ đã giao</t>
        </is>
      </c>
      <c r="B6" s="5">
        <f>IFERROR(B3/B2,0)</f>
        <v/>
      </c>
      <c r="C6" t="inlineStr">
        <is>
          <t>Tỷ lệ trạng thái đã giao trên tổng đơn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2026-10-26T14:28:28Z</dcterms:created>
  <dcterms:modified xmlns:dcterms="http://purl.org/dc/terms/" xmlns:xsi="http://www.w3.org/2001/XMLSchema-instance" xsi:type="dcterms:W3CDTF">2026-10-26T14:28:28Z</dcterms:modified>
</cp:coreProperties>
</file>